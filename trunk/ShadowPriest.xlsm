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105" windowWidth="14400" windowHeight="6960" tabRatio="736"/>
  </bookViews>
  <sheets>
    <sheet name="人物属性" sheetId="1" r:id="rId1"/>
    <sheet name="DPS评价" sheetId="2" r:id="rId2"/>
    <sheet name="Sheet3" sheetId="3" r:id="rId3"/>
    <sheet name="Sheet4" sheetId="4" r:id="rId4"/>
    <sheet name="武器" sheetId="6" r:id="rId5"/>
    <sheet name="魔杖" sheetId="8" r:id="rId6"/>
    <sheet name="头部" sheetId="9" r:id="rId7"/>
    <sheet name="项链" sheetId="10" r:id="rId8"/>
    <sheet name="肩部" sheetId="11" r:id="rId9"/>
    <sheet name="披风" sheetId="12" r:id="rId10"/>
    <sheet name="胸部" sheetId="13" r:id="rId11"/>
    <sheet name="手腕" sheetId="14" r:id="rId12"/>
    <sheet name="手部" sheetId="15" r:id="rId13"/>
    <sheet name="腰带" sheetId="16" r:id="rId14"/>
    <sheet name="腿部" sheetId="17" r:id="rId15"/>
    <sheet name="脚部" sheetId="18" r:id="rId16"/>
    <sheet name="手指" sheetId="19" r:id="rId17"/>
    <sheet name="副手" sheetId="7" r:id="rId18"/>
    <sheet name="饰品" sheetId="20" r:id="rId19"/>
    <sheet name="石头" sheetId="21" r:id="rId20"/>
    <sheet name="多彩" sheetId="22" r:id="rId21"/>
    <sheet name="基础属性" sheetId="23" r:id="rId22"/>
    <sheet name="附魔" sheetId="24" r:id="rId23"/>
  </sheets>
  <functionGroups builtInGroupCount="17"/>
  <calcPr calcId="144525"/>
</workbook>
</file>

<file path=xl/calcChain.xml><?xml version="1.0" encoding="utf-8"?>
<calcChain xmlns="http://schemas.openxmlformats.org/spreadsheetml/2006/main">
  <c r="BN17" i="1" l="1"/>
  <c r="BN16" i="1"/>
  <c r="BN13" i="1"/>
  <c r="BN14" i="1"/>
  <c r="BN15" i="1"/>
  <c r="BN8" i="1"/>
  <c r="BN9" i="1"/>
  <c r="BN10" i="1"/>
  <c r="BN11" i="1"/>
  <c r="BN12" i="1"/>
  <c r="BM32" i="1"/>
  <c r="BM33" i="1"/>
  <c r="BM34" i="1"/>
  <c r="BM26" i="1"/>
  <c r="BM27" i="1"/>
  <c r="BM28" i="1"/>
  <c r="BM29" i="1"/>
  <c r="BM30" i="1"/>
  <c r="BM31" i="1"/>
  <c r="BL40" i="1"/>
  <c r="BL41" i="1"/>
  <c r="BL42" i="1"/>
  <c r="BL32" i="1"/>
  <c r="BL33" i="1"/>
  <c r="BL34" i="1"/>
  <c r="BL35" i="1"/>
  <c r="BL36" i="1"/>
  <c r="BL37" i="1"/>
  <c r="BL38" i="1"/>
  <c r="BL39" i="1"/>
  <c r="BK11" i="1"/>
  <c r="BK12" i="1"/>
  <c r="BK13" i="1"/>
  <c r="BK14" i="1"/>
  <c r="BK15" i="1"/>
  <c r="BK16" i="1"/>
  <c r="BJ16" i="1"/>
  <c r="BJ17" i="1"/>
  <c r="BJ18" i="1"/>
  <c r="BJ19" i="1"/>
  <c r="BJ20" i="1"/>
  <c r="BJ21" i="1"/>
  <c r="BJ22" i="1"/>
  <c r="BJ23" i="1"/>
  <c r="BJ24" i="1"/>
  <c r="BI14" i="1"/>
  <c r="BI15" i="1"/>
  <c r="BI16" i="1"/>
  <c r="BI17" i="1"/>
  <c r="BI18" i="1"/>
  <c r="BI19" i="1"/>
  <c r="BI20" i="1"/>
  <c r="BH18" i="1"/>
  <c r="BH19" i="1"/>
  <c r="BH20" i="1"/>
  <c r="BH21" i="1"/>
  <c r="BH22" i="1"/>
  <c r="BH23" i="1"/>
  <c r="BH24" i="1"/>
  <c r="BG12" i="1"/>
  <c r="BG13" i="1"/>
  <c r="BG14" i="1"/>
  <c r="BG15" i="1"/>
  <c r="BG16" i="1"/>
  <c r="BG17" i="1"/>
  <c r="BG18" i="1"/>
  <c r="BF18" i="1"/>
  <c r="BF19" i="1"/>
  <c r="BF20" i="1"/>
  <c r="BF21" i="1"/>
  <c r="BF22" i="1"/>
  <c r="BF23" i="1"/>
  <c r="BF24" i="1"/>
  <c r="BF25" i="1"/>
  <c r="BF26" i="1"/>
  <c r="BF27" i="1"/>
  <c r="BF28" i="1"/>
  <c r="BE29" i="1"/>
  <c r="BE30" i="1"/>
  <c r="BE26" i="1"/>
  <c r="BE27" i="1"/>
  <c r="BE28" i="1"/>
  <c r="BE22" i="1"/>
  <c r="BE23" i="1"/>
  <c r="BE24" i="1"/>
  <c r="BE25" i="1"/>
  <c r="BE16" i="1"/>
  <c r="BE17" i="1"/>
  <c r="BE18" i="1"/>
  <c r="BE19" i="1"/>
  <c r="BE20" i="1"/>
  <c r="BE21" i="1"/>
  <c r="BD19" i="1"/>
  <c r="BD14" i="1"/>
  <c r="BD15" i="1"/>
  <c r="BD16" i="1"/>
  <c r="BD17" i="1"/>
  <c r="BD18" i="1"/>
  <c r="BC16" i="1"/>
  <c r="BC17" i="1"/>
  <c r="BC18" i="1"/>
  <c r="BC19" i="1"/>
  <c r="BC20" i="1"/>
  <c r="BC21" i="1"/>
  <c r="BC22" i="1"/>
  <c r="BC23" i="1"/>
  <c r="BB14" i="1"/>
  <c r="BB15" i="1"/>
  <c r="BB16" i="1"/>
  <c r="BB17" i="1"/>
  <c r="BB18" i="1"/>
  <c r="BB19" i="1"/>
  <c r="BB20" i="1"/>
  <c r="BB21" i="1"/>
  <c r="Q21" i="9"/>
  <c r="R21" i="9" s="1"/>
  <c r="Q20" i="9"/>
  <c r="R20" i="9" s="1"/>
  <c r="Q19" i="9"/>
  <c r="R19" i="9" s="1"/>
  <c r="Q18" i="9"/>
  <c r="R18" i="9" s="1"/>
  <c r="Q17" i="9"/>
  <c r="R17" i="9" s="1"/>
  <c r="Q16" i="9"/>
  <c r="R16" i="9" s="1"/>
  <c r="Q15" i="9"/>
  <c r="R15" i="9" s="1"/>
  <c r="Q14" i="9"/>
  <c r="R14" i="9" s="1"/>
  <c r="P23" i="10"/>
  <c r="Q23" i="10" s="1"/>
  <c r="P22" i="10"/>
  <c r="Q22" i="10" s="1"/>
  <c r="P21" i="10"/>
  <c r="Q21" i="10" s="1"/>
  <c r="P20" i="10"/>
  <c r="Q20" i="10" s="1"/>
  <c r="P19" i="10"/>
  <c r="Q19" i="10" s="1"/>
  <c r="P18" i="10"/>
  <c r="Q18" i="10" s="1"/>
  <c r="P17" i="10"/>
  <c r="Q17" i="10" s="1"/>
  <c r="P16" i="10"/>
  <c r="Q16" i="10" s="1"/>
  <c r="P19" i="11"/>
  <c r="Q19" i="11" s="1"/>
  <c r="P18" i="11"/>
  <c r="Q18" i="11" s="1"/>
  <c r="P17" i="11"/>
  <c r="Q17" i="11" s="1"/>
  <c r="P16" i="11"/>
  <c r="Q16" i="11" s="1"/>
  <c r="P15" i="11"/>
  <c r="Q15" i="11" s="1"/>
  <c r="P14" i="11"/>
  <c r="Q14" i="11" s="1"/>
  <c r="P30" i="12"/>
  <c r="Q30" i="12" s="1"/>
  <c r="P29" i="12"/>
  <c r="Q29" i="12" s="1"/>
  <c r="P28" i="12"/>
  <c r="Q28" i="12" s="1"/>
  <c r="P27" i="12"/>
  <c r="Q27" i="12" s="1"/>
  <c r="P26" i="12"/>
  <c r="Q26" i="12" s="1"/>
  <c r="P25" i="12"/>
  <c r="Q25" i="12" s="1"/>
  <c r="P24" i="12"/>
  <c r="Q24" i="12" s="1"/>
  <c r="P23" i="12"/>
  <c r="Q23" i="12" s="1"/>
  <c r="P22" i="12"/>
  <c r="Q22" i="12" s="1"/>
  <c r="P21" i="12"/>
  <c r="Q21" i="12" s="1"/>
  <c r="P20" i="12"/>
  <c r="Q20" i="12" s="1"/>
  <c r="P19" i="12"/>
  <c r="Q19" i="12" s="1"/>
  <c r="P18" i="12"/>
  <c r="Q18" i="12" s="1"/>
  <c r="P17" i="12"/>
  <c r="Q17" i="12" s="1"/>
  <c r="P16" i="12"/>
  <c r="Q16" i="12" s="1"/>
  <c r="P28" i="13"/>
  <c r="Q28" i="13" s="1"/>
  <c r="P27" i="13"/>
  <c r="Q27" i="13" s="1"/>
  <c r="P26" i="13"/>
  <c r="Q26" i="13" s="1"/>
  <c r="P25" i="13"/>
  <c r="Q25" i="13" s="1"/>
  <c r="P24" i="13"/>
  <c r="Q24" i="13" s="1"/>
  <c r="P23" i="13"/>
  <c r="Q23" i="13" s="1"/>
  <c r="P22" i="13"/>
  <c r="Q22" i="13"/>
  <c r="P21" i="13"/>
  <c r="Q21" i="13" s="1"/>
  <c r="P20" i="13"/>
  <c r="Q20" i="13" s="1"/>
  <c r="P19" i="13"/>
  <c r="Q19" i="13" s="1"/>
  <c r="P18" i="13"/>
  <c r="Q18" i="13" s="1"/>
  <c r="P18" i="14"/>
  <c r="Q18" i="14" s="1"/>
  <c r="P17" i="14"/>
  <c r="Q17" i="14" s="1"/>
  <c r="P16" i="14"/>
  <c r="Q16" i="14" s="1"/>
  <c r="P15" i="14"/>
  <c r="Q15" i="14" s="1"/>
  <c r="P14" i="14"/>
  <c r="Q14" i="14" s="1"/>
  <c r="P13" i="14"/>
  <c r="Q13" i="14" s="1"/>
  <c r="P12" i="14"/>
  <c r="Q12" i="14" s="1"/>
  <c r="P24" i="15"/>
  <c r="Q24" i="15" s="1"/>
  <c r="P23" i="15"/>
  <c r="Q23" i="15" s="1"/>
  <c r="P22" i="15"/>
  <c r="Q22" i="15" s="1"/>
  <c r="P21" i="15"/>
  <c r="Q21" i="15" s="1"/>
  <c r="P20" i="15"/>
  <c r="Q20" i="15" s="1"/>
  <c r="P19" i="15"/>
  <c r="Q19" i="15" s="1"/>
  <c r="P18" i="15"/>
  <c r="Q18" i="15" s="1"/>
  <c r="P20" i="16"/>
  <c r="Q20" i="16" s="1"/>
  <c r="P19" i="16"/>
  <c r="Q19" i="16" s="1"/>
  <c r="P18" i="16"/>
  <c r="Q18" i="16" s="1"/>
  <c r="P17" i="16"/>
  <c r="Q17" i="16" s="1"/>
  <c r="P16" i="16"/>
  <c r="Q16" i="16" s="1"/>
  <c r="P15" i="16"/>
  <c r="Q15" i="16" s="1"/>
  <c r="P14" i="16"/>
  <c r="Q14" i="16" s="1"/>
  <c r="Q18" i="17"/>
  <c r="Q19" i="17"/>
  <c r="Q20" i="17"/>
  <c r="Q21" i="17"/>
  <c r="Q22" i="17"/>
  <c r="Q23" i="17"/>
  <c r="Q24" i="17"/>
  <c r="P18" i="17"/>
  <c r="P19" i="17"/>
  <c r="P20" i="17"/>
  <c r="P21" i="17"/>
  <c r="P22" i="17"/>
  <c r="P23" i="17"/>
  <c r="P24" i="17"/>
  <c r="P17" i="17"/>
  <c r="Q17" i="17" s="1"/>
  <c r="P16" i="17"/>
  <c r="Q16" i="17" s="1"/>
  <c r="P16" i="18"/>
  <c r="Q16" i="18" s="1"/>
  <c r="P15" i="18"/>
  <c r="Q15" i="18" s="1"/>
  <c r="P14" i="18"/>
  <c r="Q14" i="18" s="1"/>
  <c r="P13" i="18"/>
  <c r="Q13" i="18" s="1"/>
  <c r="P12" i="18"/>
  <c r="Q12" i="18" s="1"/>
  <c r="P11" i="18"/>
  <c r="Q11" i="18" s="1"/>
  <c r="P42" i="19"/>
  <c r="Q42" i="19" s="1"/>
  <c r="P41" i="19"/>
  <c r="Q41" i="19" s="1"/>
  <c r="P40" i="19"/>
  <c r="Q40" i="19" s="1"/>
  <c r="P39" i="19"/>
  <c r="Q39" i="19" s="1"/>
  <c r="P38" i="19"/>
  <c r="Q38" i="19" s="1"/>
  <c r="P37" i="19"/>
  <c r="Q37" i="19" s="1"/>
  <c r="P36" i="19"/>
  <c r="Q36" i="19" s="1"/>
  <c r="P35" i="19"/>
  <c r="Q35" i="19" s="1"/>
  <c r="P34" i="19"/>
  <c r="Q34" i="19" s="1"/>
  <c r="P33" i="19"/>
  <c r="Q33" i="19" s="1"/>
  <c r="P32" i="19"/>
  <c r="Q32" i="19" s="1"/>
  <c r="P17" i="7"/>
  <c r="Q17" i="7" s="1"/>
  <c r="P16" i="7"/>
  <c r="Q16" i="7" s="1"/>
  <c r="P15" i="7"/>
  <c r="Q15" i="7" s="1"/>
  <c r="P14" i="7"/>
  <c r="Q14" i="7" s="1"/>
  <c r="P13" i="7"/>
  <c r="Q13" i="7" s="1"/>
  <c r="P12" i="7"/>
  <c r="Q12" i="7" s="1"/>
  <c r="P11" i="7"/>
  <c r="Q11" i="7" s="1"/>
  <c r="P10" i="7"/>
  <c r="Q10" i="7" s="1"/>
  <c r="P9" i="7"/>
  <c r="Q9" i="7" s="1"/>
  <c r="P8" i="7"/>
  <c r="Q8" i="7" s="1"/>
  <c r="BM24" i="1" l="1"/>
  <c r="BM25" i="1"/>
  <c r="BM23" i="1" l="1"/>
  <c r="Q16" i="1" l="1"/>
  <c r="BM20" i="1"/>
  <c r="BM21" i="1"/>
  <c r="BM22" i="1"/>
  <c r="BO19" i="1" l="1"/>
  <c r="BO18" i="1"/>
  <c r="BO11" i="1"/>
  <c r="BO12" i="1"/>
  <c r="BO13" i="1"/>
  <c r="BO14" i="1"/>
  <c r="BO15" i="1"/>
  <c r="BO16" i="1"/>
  <c r="BO17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P19" i="8" l="1"/>
  <c r="Q19" i="8" s="1"/>
  <c r="P18" i="8"/>
  <c r="Q18" i="8" s="1"/>
  <c r="P17" i="8"/>
  <c r="Q17" i="8" s="1"/>
  <c r="P16" i="8"/>
  <c r="Q16" i="8"/>
  <c r="P15" i="8"/>
  <c r="Q15" i="8" s="1"/>
  <c r="P14" i="8"/>
  <c r="Q14" i="8" s="1"/>
  <c r="P13" i="8"/>
  <c r="Q13" i="8" s="1"/>
  <c r="P12" i="8"/>
  <c r="Q12" i="8" s="1"/>
  <c r="P11" i="8"/>
  <c r="Q11" i="8" s="1"/>
  <c r="P51" i="6"/>
  <c r="Q51" i="6" s="1"/>
  <c r="P50" i="6"/>
  <c r="Q50" i="6" s="1"/>
  <c r="P49" i="6"/>
  <c r="Q49" i="6" s="1"/>
  <c r="P48" i="6"/>
  <c r="Q48" i="6"/>
  <c r="P47" i="6"/>
  <c r="Q47" i="6" s="1"/>
  <c r="P46" i="6"/>
  <c r="Q46" i="6" s="1"/>
  <c r="P45" i="6"/>
  <c r="Q45" i="6"/>
  <c r="P44" i="6"/>
  <c r="Q44" i="6" s="1"/>
  <c r="P43" i="6"/>
  <c r="Q43" i="6" s="1"/>
  <c r="P42" i="6"/>
  <c r="Q42" i="6" s="1"/>
  <c r="P41" i="6"/>
  <c r="Q41" i="6"/>
  <c r="P40" i="6"/>
  <c r="Q40" i="6"/>
  <c r="P39" i="6"/>
  <c r="Q39" i="6"/>
  <c r="P38" i="6"/>
  <c r="Q38" i="6" s="1"/>
  <c r="P37" i="6"/>
  <c r="Q37" i="6" s="1"/>
  <c r="P36" i="6"/>
  <c r="Q36" i="6" s="1"/>
  <c r="P35" i="6"/>
  <c r="Q35" i="6" s="1"/>
  <c r="P34" i="6"/>
  <c r="Q34" i="6"/>
  <c r="P33" i="6"/>
  <c r="Q33" i="6"/>
  <c r="P32" i="6"/>
  <c r="Q32" i="6" s="1"/>
  <c r="P31" i="6"/>
  <c r="Q31" i="6" s="1"/>
  <c r="Q24" i="1" l="1"/>
  <c r="H32" i="1" l="1"/>
  <c r="H33" i="1"/>
  <c r="H34" i="1"/>
  <c r="H35" i="1"/>
  <c r="H36" i="1"/>
  <c r="H37" i="1"/>
  <c r="H38" i="1"/>
  <c r="H39" i="1"/>
  <c r="H40" i="1"/>
  <c r="BO10" i="1" l="1"/>
  <c r="BK10" i="1"/>
  <c r="BA30" i="1"/>
  <c r="P10" i="18"/>
  <c r="Q10" i="18"/>
  <c r="P30" i="6"/>
  <c r="Q30" i="6"/>
  <c r="P10" i="8"/>
  <c r="Q10" i="8"/>
  <c r="D41" i="1" l="1"/>
  <c r="H41" i="1" s="1"/>
  <c r="CB3" i="1" l="1"/>
  <c r="CB4" i="1"/>
  <c r="CB5" i="1"/>
  <c r="CB2" i="1"/>
  <c r="CA3" i="1"/>
  <c r="CA2" i="1"/>
  <c r="BZ3" i="1"/>
  <c r="BZ4" i="1"/>
  <c r="BZ2" i="1"/>
  <c r="BY3" i="1"/>
  <c r="BY2" i="1"/>
  <c r="BX3" i="1"/>
  <c r="BX4" i="1"/>
  <c r="BX2" i="1"/>
  <c r="BW3" i="1"/>
  <c r="BW2" i="1"/>
  <c r="BV3" i="1"/>
  <c r="BV4" i="1"/>
  <c r="BV5" i="1"/>
  <c r="BV2" i="1"/>
  <c r="BU3" i="1"/>
  <c r="BU2" i="1"/>
  <c r="BT3" i="1"/>
  <c r="BT4" i="1"/>
  <c r="BT2" i="1"/>
  <c r="BS3" i="1"/>
  <c r="BS4" i="1"/>
  <c r="BS2" i="1"/>
  <c r="BR14" i="1"/>
  <c r="BR15" i="1"/>
  <c r="BR16" i="1"/>
  <c r="BR3" i="1"/>
  <c r="BR4" i="1"/>
  <c r="BR5" i="1"/>
  <c r="BR6" i="1"/>
  <c r="BR7" i="1"/>
  <c r="BR8" i="1"/>
  <c r="BR9" i="1"/>
  <c r="BR10" i="1"/>
  <c r="BR11" i="1"/>
  <c r="BR12" i="1"/>
  <c r="BR13" i="1"/>
  <c r="BR2" i="1"/>
  <c r="BQ3" i="1"/>
  <c r="BQ4" i="1"/>
  <c r="BQ5" i="1"/>
  <c r="BQ6" i="1"/>
  <c r="BQ7" i="1"/>
  <c r="BQ8" i="1"/>
  <c r="BQ2" i="1"/>
  <c r="BP3" i="1"/>
  <c r="BP4" i="1"/>
  <c r="BP5" i="1"/>
  <c r="BP6" i="1"/>
  <c r="BP2" i="1"/>
  <c r="BO3" i="1"/>
  <c r="BO4" i="1"/>
  <c r="BO5" i="1"/>
  <c r="BO6" i="1"/>
  <c r="BO7" i="1"/>
  <c r="BO8" i="1"/>
  <c r="BO9" i="1"/>
  <c r="BO2" i="1"/>
  <c r="BN3" i="1"/>
  <c r="BN4" i="1"/>
  <c r="BN5" i="1"/>
  <c r="BN6" i="1"/>
  <c r="BN7" i="1"/>
  <c r="BN2" i="1"/>
  <c r="BM3" i="1"/>
  <c r="BM4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" i="1"/>
  <c r="BL30" i="1"/>
  <c r="BL31" i="1"/>
  <c r="BL21" i="1"/>
  <c r="BL22" i="1"/>
  <c r="BL23" i="1"/>
  <c r="BL24" i="1"/>
  <c r="BL25" i="1"/>
  <c r="BL26" i="1"/>
  <c r="BL27" i="1"/>
  <c r="BL28" i="1"/>
  <c r="BL29" i="1"/>
  <c r="BL3" i="1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" i="1"/>
  <c r="BK3" i="1"/>
  <c r="BK4" i="1"/>
  <c r="BK5" i="1"/>
  <c r="BK6" i="1"/>
  <c r="BK7" i="1"/>
  <c r="BK8" i="1"/>
  <c r="BK9" i="1"/>
  <c r="BK2" i="1"/>
  <c r="BJ3" i="1"/>
  <c r="BJ4" i="1"/>
  <c r="BJ5" i="1"/>
  <c r="BJ6" i="1"/>
  <c r="BJ7" i="1"/>
  <c r="BJ8" i="1"/>
  <c r="BJ9" i="1"/>
  <c r="BJ10" i="1"/>
  <c r="BJ11" i="1"/>
  <c r="BJ12" i="1"/>
  <c r="BJ13" i="1"/>
  <c r="BJ14" i="1"/>
  <c r="BJ15" i="1"/>
  <c r="BJ2" i="1"/>
  <c r="BI3" i="1"/>
  <c r="BI4" i="1"/>
  <c r="BI5" i="1"/>
  <c r="BI6" i="1"/>
  <c r="BI7" i="1"/>
  <c r="BI8" i="1"/>
  <c r="BI9" i="1"/>
  <c r="BI10" i="1"/>
  <c r="BI11" i="1"/>
  <c r="BI12" i="1"/>
  <c r="BI13" i="1"/>
  <c r="BI2" i="1"/>
  <c r="BH3" i="1"/>
  <c r="BH4" i="1"/>
  <c r="BH5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2" i="1"/>
  <c r="BG3" i="1"/>
  <c r="BG4" i="1"/>
  <c r="BG5" i="1"/>
  <c r="BG6" i="1"/>
  <c r="BG7" i="1"/>
  <c r="BG8" i="1"/>
  <c r="BG9" i="1"/>
  <c r="BG10" i="1"/>
  <c r="BG11" i="1"/>
  <c r="BG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2" i="1"/>
  <c r="BD3" i="1"/>
  <c r="BD4" i="1"/>
  <c r="BD5" i="1"/>
  <c r="BD6" i="1"/>
  <c r="BD7" i="1"/>
  <c r="BD8" i="1"/>
  <c r="BD9" i="1"/>
  <c r="BD10" i="1"/>
  <c r="BD11" i="1"/>
  <c r="BD12" i="1"/>
  <c r="BD13" i="1"/>
  <c r="BD2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2" i="1"/>
  <c r="BB3" i="1"/>
  <c r="BB4" i="1"/>
  <c r="BB5" i="1"/>
  <c r="BB6" i="1"/>
  <c r="BB7" i="1"/>
  <c r="BB8" i="1"/>
  <c r="BB9" i="1"/>
  <c r="BB10" i="1"/>
  <c r="BB11" i="1"/>
  <c r="BB12" i="1"/>
  <c r="BB13" i="1"/>
  <c r="BB2" i="1"/>
  <c r="BA3" i="1"/>
  <c r="BA4" i="1"/>
  <c r="BA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2" i="1"/>
  <c r="Q14" i="1" l="1"/>
  <c r="Q13" i="1"/>
  <c r="G32" i="1"/>
  <c r="G33" i="1"/>
  <c r="G34" i="1"/>
  <c r="G35" i="1"/>
  <c r="G36" i="1"/>
  <c r="G37" i="1"/>
  <c r="G38" i="1"/>
  <c r="G39" i="1"/>
  <c r="G40" i="1"/>
  <c r="G41" i="1"/>
  <c r="Q22" i="1" l="1"/>
  <c r="I22" i="1"/>
  <c r="H22" i="1"/>
  <c r="G22" i="1"/>
  <c r="F22" i="1"/>
  <c r="E22" i="1"/>
  <c r="D22" i="1"/>
  <c r="Q20" i="1"/>
  <c r="Q17" i="1"/>
  <c r="Q9" i="1"/>
  <c r="Q6" i="1"/>
  <c r="Q3" i="1"/>
  <c r="Q15" i="1"/>
  <c r="I20" i="1" l="1"/>
  <c r="H20" i="1"/>
  <c r="G20" i="1"/>
  <c r="F20" i="1"/>
  <c r="E20" i="1"/>
  <c r="D20" i="1"/>
  <c r="H22" i="2" l="1"/>
  <c r="D22" i="2"/>
  <c r="D21" i="2"/>
  <c r="C12" i="2"/>
  <c r="H11" i="2"/>
  <c r="C11" i="2"/>
  <c r="J19" i="1" l="1"/>
  <c r="J18" i="1"/>
  <c r="J17" i="1"/>
  <c r="J14" i="1"/>
  <c r="J13" i="1"/>
  <c r="J12" i="1"/>
  <c r="J11" i="1"/>
  <c r="J10" i="1"/>
  <c r="J9" i="1"/>
  <c r="J8" i="1"/>
  <c r="J7" i="1"/>
  <c r="J6" i="1"/>
  <c r="J5" i="1"/>
  <c r="J4" i="1"/>
  <c r="J3" i="1"/>
  <c r="O19" i="1"/>
  <c r="O17" i="1"/>
  <c r="O3" i="1"/>
  <c r="O4" i="1"/>
  <c r="O5" i="1"/>
  <c r="O6" i="1"/>
  <c r="O7" i="1"/>
  <c r="O8" i="1"/>
  <c r="O9" i="1"/>
  <c r="O10" i="1"/>
  <c r="O11" i="1"/>
  <c r="O12" i="1"/>
  <c r="O13" i="1"/>
  <c r="O14" i="1"/>
  <c r="O18" i="1"/>
  <c r="I14" i="1" l="1"/>
  <c r="E14" i="1"/>
  <c r="G14" i="1"/>
  <c r="H14" i="1"/>
  <c r="D14" i="1"/>
  <c r="F14" i="1"/>
  <c r="I16" i="1"/>
  <c r="H16" i="1"/>
  <c r="G16" i="1"/>
  <c r="F16" i="1"/>
  <c r="E16" i="1"/>
  <c r="I15" i="1"/>
  <c r="H15" i="1"/>
  <c r="G15" i="1"/>
  <c r="F15" i="1"/>
  <c r="E15" i="1"/>
  <c r="D16" i="1"/>
  <c r="D15" i="1"/>
  <c r="I6" i="1"/>
  <c r="F6" i="1"/>
  <c r="E6" i="1"/>
  <c r="H6" i="1"/>
  <c r="D6" i="1"/>
  <c r="G6" i="1"/>
  <c r="D19" i="1"/>
  <c r="H19" i="1"/>
  <c r="G19" i="1"/>
  <c r="I19" i="1"/>
  <c r="F19" i="1"/>
  <c r="E19" i="1"/>
  <c r="I3" i="1"/>
  <c r="H3" i="1"/>
  <c r="D3" i="1"/>
  <c r="G3" i="1"/>
  <c r="E3" i="1"/>
  <c r="F3" i="1"/>
  <c r="I4" i="1"/>
  <c r="F4" i="1"/>
  <c r="E4" i="1"/>
  <c r="D4" i="1"/>
  <c r="G4" i="1"/>
  <c r="H4" i="1"/>
  <c r="H5" i="1"/>
  <c r="D5" i="1"/>
  <c r="I5" i="1"/>
  <c r="F5" i="1"/>
  <c r="E5" i="1"/>
  <c r="G5" i="1"/>
  <c r="F7" i="1"/>
  <c r="D7" i="1"/>
  <c r="E7" i="1"/>
  <c r="H7" i="1"/>
  <c r="I7" i="1"/>
  <c r="G7" i="1"/>
  <c r="D8" i="1"/>
  <c r="I8" i="1"/>
  <c r="E8" i="1"/>
  <c r="G8" i="1"/>
  <c r="F8" i="1"/>
  <c r="H8" i="1"/>
  <c r="I9" i="1"/>
  <c r="F9" i="1"/>
  <c r="G9" i="1"/>
  <c r="E9" i="1"/>
  <c r="H9" i="1"/>
  <c r="D9" i="1"/>
  <c r="I10" i="1"/>
  <c r="D10" i="1"/>
  <c r="F10" i="1"/>
  <c r="G10" i="1"/>
  <c r="E10" i="1"/>
  <c r="H10" i="1"/>
  <c r="D11" i="1"/>
  <c r="E11" i="1"/>
  <c r="G11" i="1"/>
  <c r="F11" i="1"/>
  <c r="H11" i="1"/>
  <c r="I11" i="1"/>
  <c r="F12" i="1"/>
  <c r="I12" i="1"/>
  <c r="G12" i="1"/>
  <c r="H12" i="1"/>
  <c r="E12" i="1"/>
  <c r="D12" i="1"/>
  <c r="H13" i="1"/>
  <c r="F13" i="1"/>
  <c r="I13" i="1"/>
  <c r="G13" i="1"/>
  <c r="E13" i="1"/>
  <c r="D13" i="1"/>
  <c r="I18" i="1"/>
  <c r="H18" i="1"/>
  <c r="G18" i="1"/>
  <c r="E18" i="1"/>
  <c r="F18" i="1"/>
  <c r="D18" i="1"/>
  <c r="F17" i="1"/>
  <c r="E17" i="1"/>
  <c r="G17" i="1"/>
  <c r="H17" i="1"/>
  <c r="D17" i="1"/>
  <c r="I17" i="1"/>
  <c r="I23" i="1" l="1"/>
  <c r="B3" i="2" s="1"/>
  <c r="D3" i="2" s="1"/>
  <c r="H23" i="1"/>
  <c r="B4" i="2" s="1"/>
  <c r="D4" i="2" s="1"/>
  <c r="E23" i="1"/>
  <c r="B7" i="2" s="1"/>
  <c r="D7" i="2" s="1"/>
  <c r="D23" i="1"/>
  <c r="G23" i="1"/>
  <c r="B5" i="2" s="1"/>
  <c r="F23" i="1"/>
  <c r="B2" i="2" s="1"/>
  <c r="D2" i="2" s="1"/>
  <c r="P29" i="6"/>
  <c r="Q29" i="6" s="1"/>
  <c r="P28" i="6"/>
  <c r="Q28" i="6" s="1"/>
  <c r="P27" i="6"/>
  <c r="Q27" i="6" s="1"/>
  <c r="P26" i="6"/>
  <c r="Q26" i="6" s="1"/>
  <c r="P25" i="6"/>
  <c r="Q25" i="6" s="1"/>
  <c r="P24" i="6"/>
  <c r="Q24" i="6" s="1"/>
  <c r="P23" i="6"/>
  <c r="Q23" i="6" s="1"/>
  <c r="P22" i="6"/>
  <c r="Q22" i="6" s="1"/>
  <c r="P21" i="6"/>
  <c r="Q21" i="6" s="1"/>
  <c r="P20" i="6"/>
  <c r="Q20" i="6" s="1"/>
  <c r="P19" i="6"/>
  <c r="Q19" i="6" s="1"/>
  <c r="P18" i="6"/>
  <c r="Q18" i="6" s="1"/>
  <c r="G7" i="2" l="1"/>
  <c r="H7" i="2" s="1"/>
  <c r="G8" i="2"/>
  <c r="H8" i="2" s="1"/>
  <c r="G4" i="2"/>
  <c r="H4" i="2" s="1"/>
  <c r="D18" i="2" s="1"/>
  <c r="G2" i="2"/>
  <c r="G3" i="2"/>
  <c r="H3" i="2" s="1"/>
  <c r="D20" i="2" s="1"/>
  <c r="D5" i="2"/>
  <c r="G6" i="2"/>
  <c r="G5" i="2"/>
  <c r="H5" i="2" s="1"/>
  <c r="D19" i="2" s="1"/>
  <c r="Q31" i="19"/>
  <c r="P31" i="19"/>
  <c r="P30" i="19"/>
  <c r="Q30" i="19" s="1"/>
  <c r="Q29" i="19"/>
  <c r="P29" i="19"/>
  <c r="P28" i="19"/>
  <c r="Q28" i="19" s="1"/>
  <c r="Q27" i="19"/>
  <c r="P27" i="19"/>
  <c r="P26" i="19"/>
  <c r="Q26" i="19" s="1"/>
  <c r="Q25" i="19"/>
  <c r="P25" i="19"/>
  <c r="P24" i="19"/>
  <c r="Q24" i="19" s="1"/>
  <c r="Q23" i="19"/>
  <c r="P23" i="19"/>
  <c r="P22" i="19"/>
  <c r="Q22" i="19" s="1"/>
  <c r="Q21" i="19"/>
  <c r="P21" i="19"/>
  <c r="P20" i="19"/>
  <c r="Q20" i="19" s="1"/>
  <c r="P19" i="19"/>
  <c r="Q19" i="19" s="1"/>
  <c r="P18" i="19"/>
  <c r="Q18" i="19" s="1"/>
  <c r="P17" i="19"/>
  <c r="Q17" i="19" s="1"/>
  <c r="P16" i="19"/>
  <c r="Q16" i="19" s="1"/>
  <c r="P15" i="19"/>
  <c r="Q15" i="19" s="1"/>
  <c r="P14" i="19"/>
  <c r="Q14" i="19" s="1"/>
  <c r="P13" i="19"/>
  <c r="Q13" i="19" s="1"/>
  <c r="P12" i="19"/>
  <c r="Q12" i="19" s="1"/>
  <c r="P11" i="19"/>
  <c r="Q11" i="19" s="1"/>
  <c r="P10" i="19"/>
  <c r="Q10" i="19" s="1"/>
  <c r="P9" i="19"/>
  <c r="Q9" i="19" s="1"/>
  <c r="P8" i="19"/>
  <c r="Q8" i="19" s="1"/>
  <c r="P7" i="19"/>
  <c r="Q7" i="19" s="1"/>
  <c r="P6" i="19"/>
  <c r="Q6" i="19" s="1"/>
  <c r="P5" i="19"/>
  <c r="Q5" i="19" s="1"/>
  <c r="P4" i="19"/>
  <c r="Q4" i="19" s="1"/>
  <c r="P3" i="19"/>
  <c r="Q3" i="19" s="1"/>
  <c r="P2" i="19"/>
  <c r="Q2" i="19" s="1"/>
  <c r="P9" i="18"/>
  <c r="Q9" i="18" s="1"/>
  <c r="P8" i="18"/>
  <c r="Q8" i="18" s="1"/>
  <c r="Q7" i="18"/>
  <c r="P7" i="18"/>
  <c r="P6" i="18"/>
  <c r="Q6" i="18" s="1"/>
  <c r="P5" i="18"/>
  <c r="Q5" i="18" s="1"/>
  <c r="P4" i="18"/>
  <c r="Q4" i="18" s="1"/>
  <c r="P3" i="18"/>
  <c r="Q3" i="18" s="1"/>
  <c r="P2" i="18"/>
  <c r="Q2" i="18" s="1"/>
  <c r="P15" i="17"/>
  <c r="Q15" i="17" s="1"/>
  <c r="P14" i="17"/>
  <c r="Q14" i="17" s="1"/>
  <c r="Q13" i="17"/>
  <c r="P13" i="17"/>
  <c r="P12" i="17"/>
  <c r="Q12" i="17" s="1"/>
  <c r="P11" i="17"/>
  <c r="Q11" i="17" s="1"/>
  <c r="P10" i="17"/>
  <c r="Q10" i="17" s="1"/>
  <c r="P9" i="17"/>
  <c r="Q9" i="17" s="1"/>
  <c r="P8" i="17"/>
  <c r="Q8" i="17" s="1"/>
  <c r="P7" i="17"/>
  <c r="Q7" i="17" s="1"/>
  <c r="P6" i="17"/>
  <c r="Q6" i="17" s="1"/>
  <c r="Q5" i="17"/>
  <c r="P5" i="17"/>
  <c r="P4" i="17"/>
  <c r="Q4" i="17" s="1"/>
  <c r="P3" i="17"/>
  <c r="Q3" i="17" s="1"/>
  <c r="P2" i="17"/>
  <c r="Q2" i="17" s="1"/>
  <c r="P13" i="16"/>
  <c r="Q13" i="16" s="1"/>
  <c r="P12" i="16"/>
  <c r="Q12" i="16" s="1"/>
  <c r="P11" i="16"/>
  <c r="Q11" i="16" s="1"/>
  <c r="P10" i="16"/>
  <c r="Q10" i="16" s="1"/>
  <c r="Q9" i="16"/>
  <c r="P9" i="16"/>
  <c r="P8" i="16"/>
  <c r="Q8" i="16" s="1"/>
  <c r="P7" i="16"/>
  <c r="Q7" i="16" s="1"/>
  <c r="P6" i="16"/>
  <c r="Q6" i="16" s="1"/>
  <c r="P5" i="16"/>
  <c r="Q5" i="16" s="1"/>
  <c r="P4" i="16"/>
  <c r="Q4" i="16" s="1"/>
  <c r="P3" i="16"/>
  <c r="Q3" i="16" s="1"/>
  <c r="P2" i="16"/>
  <c r="Q2" i="16" s="1"/>
  <c r="Q17" i="15"/>
  <c r="P17" i="15"/>
  <c r="P16" i="15"/>
  <c r="Q16" i="15" s="1"/>
  <c r="P15" i="15"/>
  <c r="Q15" i="15" s="1"/>
  <c r="P14" i="15"/>
  <c r="Q14" i="15" s="1"/>
  <c r="P13" i="15"/>
  <c r="Q13" i="15" s="1"/>
  <c r="P12" i="15"/>
  <c r="Q12" i="15" s="1"/>
  <c r="P11" i="15"/>
  <c r="Q11" i="15" s="1"/>
  <c r="P10" i="15"/>
  <c r="Q10" i="15" s="1"/>
  <c r="Q9" i="15"/>
  <c r="P9" i="15"/>
  <c r="P8" i="15"/>
  <c r="Q8" i="15" s="1"/>
  <c r="P7" i="15"/>
  <c r="Q7" i="15" s="1"/>
  <c r="P6" i="15"/>
  <c r="Q6" i="15" s="1"/>
  <c r="P5" i="15"/>
  <c r="Q5" i="15" s="1"/>
  <c r="P4" i="15"/>
  <c r="Q4" i="15" s="1"/>
  <c r="P3" i="15"/>
  <c r="Q3" i="15" s="1"/>
  <c r="P2" i="15"/>
  <c r="Q2" i="15" s="1"/>
  <c r="Q11" i="14"/>
  <c r="P11" i="14"/>
  <c r="P10" i="14"/>
  <c r="Q10" i="14" s="1"/>
  <c r="P9" i="14"/>
  <c r="Q9" i="14" s="1"/>
  <c r="P8" i="14"/>
  <c r="Q8" i="14" s="1"/>
  <c r="P7" i="14"/>
  <c r="Q7" i="14" s="1"/>
  <c r="P6" i="14"/>
  <c r="Q6" i="14" s="1"/>
  <c r="P5" i="14"/>
  <c r="Q5" i="14" s="1"/>
  <c r="P4" i="14"/>
  <c r="Q4" i="14" s="1"/>
  <c r="Q3" i="14"/>
  <c r="P3" i="14"/>
  <c r="P2" i="14"/>
  <c r="Q2" i="14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Q11" i="13"/>
  <c r="P11" i="13"/>
  <c r="P10" i="13"/>
  <c r="Q10" i="13" s="1"/>
  <c r="P9" i="13"/>
  <c r="Q9" i="13" s="1"/>
  <c r="P8" i="13"/>
  <c r="Q8" i="13" s="1"/>
  <c r="P7" i="13"/>
  <c r="Q7" i="13" s="1"/>
  <c r="P6" i="13"/>
  <c r="Q6" i="13" s="1"/>
  <c r="P5" i="13"/>
  <c r="Q5" i="13" s="1"/>
  <c r="P4" i="13"/>
  <c r="Q4" i="13" s="1"/>
  <c r="Q3" i="13"/>
  <c r="P3" i="13"/>
  <c r="P2" i="13"/>
  <c r="Q2" i="13" s="1"/>
  <c r="P15" i="12"/>
  <c r="Q15" i="12" s="1"/>
  <c r="P14" i="12"/>
  <c r="Q14" i="12" s="1"/>
  <c r="P13" i="12"/>
  <c r="Q13" i="12" s="1"/>
  <c r="P12" i="12"/>
  <c r="Q12" i="12" s="1"/>
  <c r="P11" i="12"/>
  <c r="Q11" i="12" s="1"/>
  <c r="P10" i="12"/>
  <c r="Q10" i="12" s="1"/>
  <c r="Q9" i="12"/>
  <c r="P9" i="12"/>
  <c r="P8" i="12"/>
  <c r="Q8" i="12" s="1"/>
  <c r="P7" i="12"/>
  <c r="Q7" i="12" s="1"/>
  <c r="P6" i="12"/>
  <c r="Q6" i="12" s="1"/>
  <c r="P5" i="12"/>
  <c r="Q5" i="12" s="1"/>
  <c r="P4" i="12"/>
  <c r="Q4" i="12" s="1"/>
  <c r="P3" i="12"/>
  <c r="Q3" i="12" s="1"/>
  <c r="P2" i="12"/>
  <c r="Q2" i="12" s="1"/>
  <c r="Q13" i="11"/>
  <c r="P13" i="11"/>
  <c r="P12" i="11"/>
  <c r="Q12" i="11" s="1"/>
  <c r="P11" i="11"/>
  <c r="Q11" i="11" s="1"/>
  <c r="P10" i="11"/>
  <c r="Q10" i="11" s="1"/>
  <c r="P9" i="11"/>
  <c r="Q9" i="11" s="1"/>
  <c r="P8" i="11"/>
  <c r="Q8" i="11" s="1"/>
  <c r="P7" i="11"/>
  <c r="Q7" i="11" s="1"/>
  <c r="P6" i="11"/>
  <c r="Q6" i="11" s="1"/>
  <c r="Q5" i="11"/>
  <c r="P5" i="11"/>
  <c r="P4" i="11"/>
  <c r="Q4" i="11" s="1"/>
  <c r="P3" i="11"/>
  <c r="Q3" i="11" s="1"/>
  <c r="P2" i="11"/>
  <c r="Q2" i="11" s="1"/>
  <c r="P15" i="10"/>
  <c r="Q15" i="10" s="1"/>
  <c r="P14" i="10"/>
  <c r="Q14" i="10" s="1"/>
  <c r="P13" i="10"/>
  <c r="Q13" i="10" s="1"/>
  <c r="P12" i="10"/>
  <c r="Q12" i="10" s="1"/>
  <c r="Q11" i="10"/>
  <c r="P11" i="10"/>
  <c r="P10" i="10"/>
  <c r="Q10" i="10" s="1"/>
  <c r="P9" i="10"/>
  <c r="Q9" i="10" s="1"/>
  <c r="P8" i="10"/>
  <c r="Q8" i="10" s="1"/>
  <c r="P7" i="10"/>
  <c r="Q7" i="10" s="1"/>
  <c r="P6" i="10"/>
  <c r="Q6" i="10" s="1"/>
  <c r="P5" i="10"/>
  <c r="Q5" i="10" s="1"/>
  <c r="P4" i="10"/>
  <c r="Q4" i="10" s="1"/>
  <c r="Q3" i="10"/>
  <c r="P3" i="10"/>
  <c r="P2" i="10"/>
  <c r="Q2" i="10" s="1"/>
  <c r="Q13" i="9"/>
  <c r="R13" i="9" s="1"/>
  <c r="Q12" i="9"/>
  <c r="R12" i="9" s="1"/>
  <c r="Q11" i="9"/>
  <c r="R11" i="9" s="1"/>
  <c r="Q10" i="9"/>
  <c r="R10" i="9" s="1"/>
  <c r="Q9" i="9"/>
  <c r="R9" i="9" s="1"/>
  <c r="Q8" i="9"/>
  <c r="R8" i="9" s="1"/>
  <c r="R7" i="9"/>
  <c r="Q7" i="9"/>
  <c r="Q6" i="9"/>
  <c r="R6" i="9" s="1"/>
  <c r="Q5" i="9"/>
  <c r="R5" i="9" s="1"/>
  <c r="Q4" i="9"/>
  <c r="R4" i="9" s="1"/>
  <c r="Q3" i="9"/>
  <c r="R3" i="9" s="1"/>
  <c r="Q2" i="9"/>
  <c r="R2" i="9" s="1"/>
  <c r="P9" i="8"/>
  <c r="Q9" i="8" s="1"/>
  <c r="P8" i="8"/>
  <c r="Q8" i="8" s="1"/>
  <c r="Q7" i="8"/>
  <c r="P7" i="8"/>
  <c r="P6" i="8"/>
  <c r="Q6" i="8" s="1"/>
  <c r="P5" i="8"/>
  <c r="Q5" i="8" s="1"/>
  <c r="P4" i="8"/>
  <c r="Q4" i="8" s="1"/>
  <c r="P3" i="8"/>
  <c r="Q3" i="8" s="1"/>
  <c r="P2" i="8"/>
  <c r="Q2" i="8" s="1"/>
  <c r="P7" i="7"/>
  <c r="Q7" i="7" s="1"/>
  <c r="P6" i="7"/>
  <c r="Q6" i="7" s="1"/>
  <c r="Q5" i="7"/>
  <c r="P5" i="7"/>
  <c r="P4" i="7"/>
  <c r="Q4" i="7" s="1"/>
  <c r="P3" i="7"/>
  <c r="Q3" i="7" s="1"/>
  <c r="P2" i="7"/>
  <c r="Q2" i="7" s="1"/>
  <c r="P17" i="6"/>
  <c r="Q17" i="6" s="1"/>
  <c r="P16" i="6"/>
  <c r="Q16" i="6" s="1"/>
  <c r="P15" i="6"/>
  <c r="Q15" i="6" s="1"/>
  <c r="P14" i="6"/>
  <c r="Q14" i="6" s="1"/>
  <c r="P13" i="6"/>
  <c r="Q13" i="6" s="1"/>
  <c r="P12" i="6"/>
  <c r="Q12" i="6" s="1"/>
  <c r="P11" i="6"/>
  <c r="Q11" i="6" s="1"/>
  <c r="P10" i="6"/>
  <c r="Q10" i="6" s="1"/>
  <c r="P9" i="6"/>
  <c r="Q9" i="6" s="1"/>
  <c r="P8" i="6"/>
  <c r="Q8" i="6" s="1"/>
  <c r="P7" i="6"/>
  <c r="Q7" i="6" s="1"/>
  <c r="P6" i="6"/>
  <c r="Q6" i="6" s="1"/>
  <c r="P5" i="6"/>
  <c r="Q5" i="6" s="1"/>
  <c r="P4" i="6"/>
  <c r="Q4" i="6" s="1"/>
  <c r="P3" i="6"/>
  <c r="Q3" i="6" s="1"/>
  <c r="P2" i="6"/>
  <c r="Q2" i="6" s="1"/>
  <c r="I2" i="2" l="1"/>
  <c r="H2" i="2"/>
  <c r="D16" i="2" s="1"/>
  <c r="E16" i="2" s="1"/>
  <c r="I6" i="2"/>
  <c r="H6" i="2"/>
  <c r="D17" i="2" s="1"/>
  <c r="E17" i="2" l="1"/>
  <c r="E18" i="2" s="1"/>
  <c r="E19" i="2" s="1"/>
  <c r="E20" i="2" s="1"/>
  <c r="E21" i="2" l="1"/>
  <c r="E22" i="2" s="1"/>
  <c r="B35" i="2"/>
  <c r="D31" i="2" l="1"/>
  <c r="E31" i="2" s="1"/>
  <c r="D30" i="2"/>
  <c r="E30" i="2" s="1"/>
  <c r="G30" i="2" s="1"/>
  <c r="D28" i="2"/>
  <c r="H32" i="2"/>
  <c r="D27" i="2"/>
  <c r="E27" i="2" s="1"/>
  <c r="G27" i="2" s="1"/>
  <c r="D26" i="2"/>
  <c r="E26" i="2" s="1"/>
  <c r="G26" i="2" s="1"/>
  <c r="E35" i="2"/>
  <c r="D29" i="2"/>
  <c r="E29" i="2" s="1"/>
  <c r="H31" i="2" l="1"/>
  <c r="H27" i="2"/>
  <c r="H29" i="2"/>
  <c r="H30" i="2"/>
  <c r="E28" i="2"/>
  <c r="B36" i="2"/>
  <c r="H28" i="2"/>
  <c r="H26" i="2"/>
  <c r="H34" i="2" l="1"/>
  <c r="E36" i="2" s="1"/>
  <c r="H35" i="2" s="1"/>
  <c r="B6" i="2"/>
  <c r="D6" i="2" s="1"/>
  <c r="D8" i="2" s="1"/>
  <c r="C13" i="2" s="1"/>
  <c r="H13" i="2" s="1"/>
  <c r="I34" i="1"/>
  <c r="I33" i="1"/>
  <c r="I35" i="1"/>
  <c r="I32" i="1"/>
  <c r="I36" i="1"/>
</calcChain>
</file>

<file path=xl/sharedStrings.xml><?xml version="1.0" encoding="utf-8"?>
<sst xmlns="http://schemas.openxmlformats.org/spreadsheetml/2006/main" count="1784" uniqueCount="886">
  <si>
    <t>名称</t>
    <phoneticPr fontId="4" type="noConversion"/>
  </si>
  <si>
    <t>ILV</t>
    <phoneticPr fontId="4" type="noConversion"/>
  </si>
  <si>
    <t>耐力</t>
    <phoneticPr fontId="4" type="noConversion"/>
  </si>
  <si>
    <t>智力</t>
    <phoneticPr fontId="4" type="noConversion"/>
  </si>
  <si>
    <t>精神</t>
    <phoneticPr fontId="4" type="noConversion"/>
  </si>
  <si>
    <t>法术强度</t>
  </si>
  <si>
    <t>急速</t>
    <phoneticPr fontId="4" type="noConversion"/>
  </si>
  <si>
    <t>爆击</t>
    <phoneticPr fontId="4" type="noConversion"/>
  </si>
  <si>
    <t>命中</t>
    <phoneticPr fontId="4" type="noConversion"/>
  </si>
  <si>
    <t>MP5</t>
    <phoneticPr fontId="4" type="noConversion"/>
  </si>
  <si>
    <t>红</t>
    <phoneticPr fontId="4" type="noConversion"/>
  </si>
  <si>
    <t>黄</t>
    <phoneticPr fontId="4" type="noConversion"/>
  </si>
  <si>
    <t>蓝</t>
    <phoneticPr fontId="4" type="noConversion"/>
  </si>
  <si>
    <t>插槽奖励</t>
    <phoneticPr fontId="4" type="noConversion"/>
  </si>
  <si>
    <t>出处</t>
    <phoneticPr fontId="4" type="noConversion"/>
  </si>
  <si>
    <t>装备价值</t>
    <phoneticPr fontId="4" type="noConversion"/>
  </si>
  <si>
    <t>+含命中</t>
    <phoneticPr fontId="4" type="noConversion"/>
  </si>
  <si>
    <t>亚库斯，安东尼达斯的圣杖</t>
    <phoneticPr fontId="4" type="noConversion"/>
  </si>
  <si>
    <t>+9法强</t>
  </si>
  <si>
    <t>ICC25-巫妖王H</t>
  </si>
  <si>
    <t>圣光将熄</t>
    <phoneticPr fontId="4" type="noConversion"/>
  </si>
  <si>
    <t>ICC25-鲜血女王H</t>
    <phoneticPr fontId="4" type="noConversion"/>
  </si>
  <si>
    <t>ICC25-亡语女士H</t>
    <phoneticPr fontId="4" type="noConversion"/>
  </si>
  <si>
    <t>ICC25-巫妖王</t>
  </si>
  <si>
    <t>+8急速</t>
    <phoneticPr fontId="4" type="noConversion"/>
  </si>
  <si>
    <t>ICC10-烂肠H</t>
    <phoneticPr fontId="4" type="noConversion"/>
  </si>
  <si>
    <t>玛格汉大酋长的法杖</t>
    <phoneticPr fontId="4" type="noConversion"/>
  </si>
  <si>
    <t>ICC10-萨鲁法尔H</t>
    <phoneticPr fontId="4" type="noConversion"/>
  </si>
  <si>
    <t>席瓦娜的苍穹法杖</t>
    <phoneticPr fontId="4" type="noConversion"/>
  </si>
  <si>
    <t>ICC10-绿龙H</t>
    <phoneticPr fontId="4" type="noConversion"/>
  </si>
  <si>
    <t>+7法强</t>
  </si>
  <si>
    <t>ICC25-鲜血女王</t>
    <phoneticPr fontId="4" type="noConversion"/>
  </si>
  <si>
    <t>ICC25-亡语女士</t>
    <phoneticPr fontId="4" type="noConversion"/>
  </si>
  <si>
    <t>ICC10-绿龙</t>
    <phoneticPr fontId="4" type="noConversion"/>
  </si>
  <si>
    <t>+6急速</t>
    <phoneticPr fontId="4" type="noConversion"/>
  </si>
  <si>
    <t>ICC10-烂肠</t>
    <phoneticPr fontId="4" type="noConversion"/>
  </si>
  <si>
    <t>ICC10-萨鲁法尔</t>
    <phoneticPr fontId="4" type="noConversion"/>
  </si>
  <si>
    <t>泰瑞纳斯二世的皇家权杖</t>
    <phoneticPr fontId="4" type="noConversion"/>
  </si>
  <si>
    <t>+5法强</t>
  </si>
  <si>
    <t>ICC25-腐面H</t>
    <phoneticPr fontId="4" type="noConversion"/>
  </si>
  <si>
    <t>冰封骨针</t>
    <phoneticPr fontId="4" type="noConversion"/>
  </si>
  <si>
    <t>ICC25-玛洛嘉领主H</t>
    <phoneticPr fontId="4" type="noConversion"/>
  </si>
  <si>
    <t>瓦琉斯，圣光使者之锤</t>
    <phoneticPr fontId="4" type="noConversion"/>
  </si>
  <si>
    <t>ICC10-巫妖王H</t>
  </si>
  <si>
    <t>泰尔萨斯，鲜血之王的匕首</t>
    <phoneticPr fontId="4" type="noConversion"/>
  </si>
  <si>
    <t>考达拉寒风匕首</t>
    <phoneticPr fontId="4" type="noConversion"/>
  </si>
  <si>
    <t>ICC10-冰龙H</t>
    <phoneticPr fontId="4" type="noConversion"/>
  </si>
  <si>
    <t>感染之伤</t>
    <phoneticPr fontId="4" type="noConversion"/>
  </si>
  <si>
    <t>ICC10-腐面H</t>
    <phoneticPr fontId="4" type="noConversion"/>
  </si>
  <si>
    <t>午夜之阳</t>
    <phoneticPr fontId="4" type="noConversion"/>
  </si>
  <si>
    <t>+4急速</t>
    <phoneticPr fontId="4" type="noConversion"/>
  </si>
  <si>
    <t>ICC10-炮艇战H</t>
    <phoneticPr fontId="4" type="noConversion"/>
  </si>
  <si>
    <t>ICC25-腐面</t>
    <phoneticPr fontId="4" type="noConversion"/>
  </si>
  <si>
    <t>ICC25-玛洛嘉领主</t>
    <phoneticPr fontId="4" type="noConversion"/>
  </si>
  <si>
    <t>ICC10-巫妖王</t>
  </si>
  <si>
    <t>ICC10-冰龙</t>
    <phoneticPr fontId="4" type="noConversion"/>
  </si>
  <si>
    <t>ICC10-腐面</t>
    <phoneticPr fontId="4" type="noConversion"/>
  </si>
  <si>
    <t>ICC10-炮艇战</t>
    <phoneticPr fontId="4" type="noConversion"/>
  </si>
  <si>
    <t>永恒暮色日晷</t>
    <phoneticPr fontId="4" type="noConversion"/>
  </si>
  <si>
    <t>ICC25-冰龙H</t>
    <phoneticPr fontId="4" type="noConversion"/>
  </si>
  <si>
    <t>影丝纺锤</t>
    <phoneticPr fontId="4" type="noConversion"/>
  </si>
  <si>
    <t>ICC25-鲜血议会H</t>
    <phoneticPr fontId="4" type="noConversion"/>
  </si>
  <si>
    <t>天灾领主权杖</t>
    <phoneticPr fontId="4" type="noConversion"/>
  </si>
  <si>
    <t>ICC10-亡语女士H</t>
    <phoneticPr fontId="4" type="noConversion"/>
  </si>
  <si>
    <t>ICC25-冰龙</t>
    <phoneticPr fontId="4" type="noConversion"/>
  </si>
  <si>
    <t>ICC25-鲜血议会</t>
    <phoneticPr fontId="4" type="noConversion"/>
  </si>
  <si>
    <t>ICC10-亡语女士</t>
    <phoneticPr fontId="4" type="noConversion"/>
  </si>
  <si>
    <t>梦魇终结者</t>
    <phoneticPr fontId="4" type="noConversion"/>
  </si>
  <si>
    <t>ICC25-绿龙H</t>
    <phoneticPr fontId="4" type="noConversion"/>
  </si>
  <si>
    <t>贯体之刺</t>
    <phoneticPr fontId="4" type="noConversion"/>
  </si>
  <si>
    <t>兰娜瑟尔的染血之指</t>
    <phoneticPr fontId="4" type="noConversion"/>
  </si>
  <si>
    <t>+4精神</t>
    <phoneticPr fontId="4" type="noConversion"/>
  </si>
  <si>
    <t>ICC10-鲜血女王H</t>
    <phoneticPr fontId="4" type="noConversion"/>
  </si>
  <si>
    <t>血红宝石魔杖</t>
    <phoneticPr fontId="4" type="noConversion"/>
  </si>
  <si>
    <t>ICC10-鲜血议会H</t>
    <phoneticPr fontId="4" type="noConversion"/>
  </si>
  <si>
    <t>ICC25-绿龙</t>
    <phoneticPr fontId="4" type="noConversion"/>
  </si>
  <si>
    <t>ICC10-鲜血女王</t>
    <phoneticPr fontId="4" type="noConversion"/>
  </si>
  <si>
    <t>ICC10-鲜血议会</t>
    <phoneticPr fontId="4" type="noConversion"/>
  </si>
  <si>
    <t>多彩</t>
    <phoneticPr fontId="4" type="noConversion"/>
  </si>
  <si>
    <t>T10-3D</t>
    <phoneticPr fontId="4" type="noConversion"/>
  </si>
  <si>
    <t>神圣血色侍僧罩帽</t>
    <phoneticPr fontId="4" type="noConversion"/>
  </si>
  <si>
    <t>T10-3H</t>
    <phoneticPr fontId="4" type="noConversion"/>
  </si>
  <si>
    <t>科雷萨仪祭之冠</t>
    <phoneticPr fontId="4" type="noConversion"/>
  </si>
  <si>
    <t>ICC25-炮艇战H</t>
    <phoneticPr fontId="4" type="noConversion"/>
  </si>
  <si>
    <t>+9法强</t>
    <phoneticPr fontId="4" type="noConversion"/>
  </si>
  <si>
    <t>T10-2D</t>
    <phoneticPr fontId="4" type="noConversion"/>
  </si>
  <si>
    <t>T10-2H</t>
    <phoneticPr fontId="4" type="noConversion"/>
  </si>
  <si>
    <t>煞星沉眠法冠</t>
    <phoneticPr fontId="4" type="noConversion"/>
  </si>
  <si>
    <t>ICC25-炮艇战</t>
    <phoneticPr fontId="4" type="noConversion"/>
  </si>
  <si>
    <t>T10-1D</t>
    <phoneticPr fontId="4" type="noConversion"/>
  </si>
  <si>
    <t>T10-1H</t>
    <phoneticPr fontId="4" type="noConversion"/>
  </si>
  <si>
    <t>鲜血皇后的殷红项圈</t>
    <phoneticPr fontId="4" type="noConversion"/>
  </si>
  <si>
    <t>圣日的恩泽</t>
    <phoneticPr fontId="4" type="noConversion"/>
  </si>
  <si>
    <t>ICC25-烂肠H</t>
    <phoneticPr fontId="4" type="noConversion"/>
  </si>
  <si>
    <t>默悼护符</t>
    <phoneticPr fontId="4" type="noConversion"/>
  </si>
  <si>
    <t>冰冠斥候护符</t>
    <phoneticPr fontId="4" type="noConversion"/>
  </si>
  <si>
    <t>血脉分离垂饰</t>
    <phoneticPr fontId="4" type="noConversion"/>
  </si>
  <si>
    <t>ICC10-教授H</t>
    <phoneticPr fontId="4" type="noConversion"/>
  </si>
  <si>
    <t>秽珠项圈</t>
    <phoneticPr fontId="4" type="noConversion"/>
  </si>
  <si>
    <t>斩魂垂饰</t>
    <phoneticPr fontId="4" type="noConversion"/>
  </si>
  <si>
    <t>ICC25-烂肠</t>
    <phoneticPr fontId="4" type="noConversion"/>
  </si>
  <si>
    <t>ICC10-教授</t>
    <phoneticPr fontId="4" type="noConversion"/>
  </si>
  <si>
    <t>神圣血色侍僧衬肩</t>
    <phoneticPr fontId="4" type="noConversion"/>
  </si>
  <si>
    <t>+5法强</t>
    <phoneticPr fontId="4" type="noConversion"/>
  </si>
  <si>
    <t>仁慈杀戮肩甲</t>
    <phoneticPr fontId="4" type="noConversion"/>
  </si>
  <si>
    <t>神圣血色侍僧肩垫</t>
    <phoneticPr fontId="4" type="noConversion"/>
  </si>
  <si>
    <t>迟暮肩甲</t>
    <phoneticPr fontId="4" type="noConversion"/>
  </si>
  <si>
    <t>浸血的医师护肩</t>
    <phoneticPr fontId="4" type="noConversion"/>
  </si>
  <si>
    <t>血色侍僧衬肩</t>
    <phoneticPr fontId="4" type="noConversion"/>
  </si>
  <si>
    <t>血色侍僧肩垫</t>
    <phoneticPr fontId="4" type="noConversion"/>
  </si>
  <si>
    <t>暮色蒸腾披风</t>
    <phoneticPr fontId="4" type="noConversion"/>
  </si>
  <si>
    <t>RS25H</t>
    <phoneticPr fontId="4" type="noConversion"/>
  </si>
  <si>
    <t>霜缚者的残破斗篷</t>
    <phoneticPr fontId="4" type="noConversion"/>
  </si>
  <si>
    <t>叛变勇士的大氅</t>
    <phoneticPr fontId="4" type="noConversion"/>
  </si>
  <si>
    <t>ICC25-萨鲁法尔H</t>
    <phoneticPr fontId="4" type="noConversion"/>
  </si>
  <si>
    <t>诱导之帽</t>
    <phoneticPr fontId="4" type="noConversion"/>
  </si>
  <si>
    <t>RS10H</t>
    <phoneticPr fontId="4" type="noConversion"/>
  </si>
  <si>
    <t>RS25N</t>
    <phoneticPr fontId="4" type="noConversion"/>
  </si>
  <si>
    <t>巫妖裹布</t>
    <phoneticPr fontId="4" type="noConversion"/>
  </si>
  <si>
    <t>+4命中</t>
    <phoneticPr fontId="4" type="noConversion"/>
  </si>
  <si>
    <t>悲痛抚平者斗篷</t>
    <phoneticPr fontId="4" type="noConversion"/>
  </si>
  <si>
    <t>+2MP5</t>
    <phoneticPr fontId="4" type="noConversion"/>
  </si>
  <si>
    <t>ICC25-萨鲁法尔</t>
    <phoneticPr fontId="4" type="noConversion"/>
  </si>
  <si>
    <t>紫罗兰之塔披风</t>
    <phoneticPr fontId="4" type="noConversion"/>
  </si>
  <si>
    <t>50冰霜纹章</t>
    <phoneticPr fontId="4" type="noConversion"/>
  </si>
  <si>
    <t>夜空斗篷</t>
    <phoneticPr fontId="4" type="noConversion"/>
  </si>
  <si>
    <t>RS10N</t>
    <phoneticPr fontId="4" type="noConversion"/>
  </si>
  <si>
    <t>神圣血色侍僧罩袍</t>
    <phoneticPr fontId="4" type="noConversion"/>
  </si>
  <si>
    <t>+7法强</t>
    <phoneticPr fontId="4" type="noConversion"/>
  </si>
  <si>
    <t>神圣血色侍僧法袍</t>
    <phoneticPr fontId="4" type="noConversion"/>
  </si>
  <si>
    <t>噩梦乍醒法袍</t>
    <phoneticPr fontId="4" type="noConversion"/>
  </si>
  <si>
    <t>血红丝质长袍</t>
    <phoneticPr fontId="4" type="noConversion"/>
  </si>
  <si>
    <t>碧空流落法袍</t>
    <phoneticPr fontId="4" type="noConversion"/>
  </si>
  <si>
    <t>血魂法衣</t>
    <phoneticPr fontId="4" type="noConversion"/>
  </si>
  <si>
    <t>逐星者外衣</t>
    <phoneticPr fontId="4" type="noConversion"/>
  </si>
  <si>
    <t>95冰霜纹章</t>
    <phoneticPr fontId="4" type="noConversion"/>
  </si>
  <si>
    <t>权晋礼袍</t>
    <phoneticPr fontId="4" type="noConversion"/>
  </si>
  <si>
    <t>血色侍僧罩袍</t>
    <phoneticPr fontId="4" type="noConversion"/>
  </si>
  <si>
    <t>血色侍僧法袍</t>
    <phoneticPr fontId="4" type="noConversion"/>
  </si>
  <si>
    <t>火夜护腕</t>
    <phoneticPr fontId="4" type="noConversion"/>
  </si>
  <si>
    <t>死亡医师的袖腕</t>
    <phoneticPr fontId="4" type="noConversion"/>
  </si>
  <si>
    <t>亡语者女士的脆弱护腕</t>
    <phoneticPr fontId="4" type="noConversion"/>
  </si>
  <si>
    <t>药浸护腕</t>
    <phoneticPr fontId="4" type="noConversion"/>
  </si>
  <si>
    <t>黑暗祝福护腕</t>
    <phoneticPr fontId="4" type="noConversion"/>
  </si>
  <si>
    <t>神圣血色侍僧裹手</t>
    <phoneticPr fontId="4" type="noConversion"/>
  </si>
  <si>
    <t>神圣血色侍僧手套</t>
    <phoneticPr fontId="4" type="noConversion"/>
  </si>
  <si>
    <t>萨莱因仪祭手套</t>
    <phoneticPr fontId="4" type="noConversion"/>
  </si>
  <si>
    <t>炮艇上尉的护手</t>
    <phoneticPr fontId="4" type="noConversion"/>
  </si>
  <si>
    <t>断指手套</t>
    <phoneticPr fontId="4" type="noConversion"/>
  </si>
  <si>
    <t>+6精神</t>
    <phoneticPr fontId="4" type="noConversion"/>
  </si>
  <si>
    <t>女武神护手</t>
    <phoneticPr fontId="4" type="noConversion"/>
  </si>
  <si>
    <t>假意手套</t>
    <phoneticPr fontId="4" type="noConversion"/>
  </si>
  <si>
    <t>60冰霜纹章</t>
    <phoneticPr fontId="4" type="noConversion"/>
  </si>
  <si>
    <t>矛盾手套</t>
    <phoneticPr fontId="4" type="noConversion"/>
  </si>
  <si>
    <t>血色侍僧裹手</t>
    <phoneticPr fontId="4" type="noConversion"/>
  </si>
  <si>
    <t>血色侍僧手套</t>
    <phoneticPr fontId="4" type="noConversion"/>
  </si>
  <si>
    <t>顽疾束带</t>
    <phoneticPr fontId="4" type="noConversion"/>
  </si>
  <si>
    <t>破碎冷魂腰带</t>
    <phoneticPr fontId="4" type="noConversion"/>
  </si>
  <si>
    <t>孽障腰带</t>
    <phoneticPr fontId="4" type="noConversion"/>
  </si>
  <si>
    <t>灼烧束带</t>
    <phoneticPr fontId="4" type="noConversion"/>
  </si>
  <si>
    <t>恩医束带</t>
    <phoneticPr fontId="4" type="noConversion"/>
  </si>
  <si>
    <t>ICC10-玛洛嘉领主H</t>
    <phoneticPr fontId="4" type="noConversion"/>
  </si>
  <si>
    <t>渎职腰带</t>
    <phoneticPr fontId="4" type="noConversion"/>
  </si>
  <si>
    <t>欧塞斯教派束环</t>
    <phoneticPr fontId="4" type="noConversion"/>
  </si>
  <si>
    <t>ICC10-玛洛嘉领主</t>
    <phoneticPr fontId="4" type="noConversion"/>
  </si>
  <si>
    <t>神圣血色侍僧长裤</t>
    <phoneticPr fontId="4" type="noConversion"/>
  </si>
  <si>
    <t>神圣血色侍僧护腿</t>
    <phoneticPr fontId="4" type="noConversion"/>
  </si>
  <si>
    <t>天灾使者的污斑长裤</t>
    <phoneticPr fontId="4" type="noConversion"/>
  </si>
  <si>
    <t>心灵映射护腿</t>
    <phoneticPr fontId="4" type="noConversion"/>
  </si>
  <si>
    <t>新伤褶裙</t>
    <phoneticPr fontId="4" type="noConversion"/>
  </si>
  <si>
    <t>死亡编织护腿</t>
    <phoneticPr fontId="4" type="noConversion"/>
  </si>
  <si>
    <t>裁缝</t>
    <phoneticPr fontId="4" type="noConversion"/>
  </si>
  <si>
    <t>光纹护腿</t>
    <phoneticPr fontId="4" type="noConversion"/>
  </si>
  <si>
    <t>血色侍僧长裤</t>
    <phoneticPr fontId="4" type="noConversion"/>
  </si>
  <si>
    <t>血色侍僧护腿</t>
    <phoneticPr fontId="4" type="noConversion"/>
  </si>
  <si>
    <t>天灾科学家长靴</t>
    <phoneticPr fontId="4" type="noConversion"/>
  </si>
  <si>
    <t>白凶长靴</t>
    <phoneticPr fontId="4" type="noConversion"/>
  </si>
  <si>
    <t>冰冠尖塔便鞋</t>
    <phoneticPr fontId="4" type="noConversion"/>
  </si>
  <si>
    <t>亡霜布履</t>
    <phoneticPr fontId="4" type="noConversion"/>
  </si>
  <si>
    <t>仪祭软鞋</t>
    <phoneticPr fontId="4" type="noConversion"/>
  </si>
  <si>
    <t>定向恢复之戒</t>
    <phoneticPr fontId="4" type="noConversion"/>
  </si>
  <si>
    <t>永恒毁灭之灰烬指环*</t>
    <phoneticPr fontId="4" type="noConversion"/>
  </si>
  <si>
    <t>灰烬之裁-崇拜</t>
    <phoneticPr fontId="4" type="noConversion"/>
  </si>
  <si>
    <t>永恒智慧之灰烬指环*</t>
    <phoneticPr fontId="4" type="noConversion"/>
  </si>
  <si>
    <t>无上毁灭之灰烬指环*</t>
    <phoneticPr fontId="4" type="noConversion"/>
  </si>
  <si>
    <t>灰烬之裁-崇敬</t>
    <phoneticPr fontId="4" type="noConversion"/>
  </si>
  <si>
    <t>无上智慧之灰烬指环*</t>
    <phoneticPr fontId="4" type="noConversion"/>
  </si>
  <si>
    <t>玛利苟斯的回忆</t>
    <phoneticPr fontId="4" type="noConversion"/>
  </si>
  <si>
    <t>ICC25-冰龙</t>
    <phoneticPr fontId="4" type="noConversion"/>
  </si>
  <si>
    <t>瓦拉纳的备用徽记之戒</t>
    <phoneticPr fontId="4" type="noConversion"/>
  </si>
  <si>
    <t>ICC25-鲜血议会</t>
    <phoneticPr fontId="4" type="noConversion"/>
  </si>
  <si>
    <t>愈合血环</t>
    <phoneticPr fontId="4" type="noConversion"/>
  </si>
  <si>
    <t>飞升之戒</t>
    <phoneticPr fontId="4" type="noConversion"/>
  </si>
  <si>
    <t>ICC25-炮艇战</t>
    <phoneticPr fontId="4" type="noConversion"/>
  </si>
  <si>
    <t>狂语之戒</t>
    <phoneticPr fontId="4" type="noConversion"/>
  </si>
  <si>
    <t>ICC25-亡语女士</t>
    <phoneticPr fontId="4" type="noConversion"/>
  </si>
  <si>
    <t>玛洛加尔的寒冰之瞳</t>
    <phoneticPr fontId="4" type="noConversion"/>
  </si>
  <si>
    <t>ICC25-玛洛嘉领主</t>
    <phoneticPr fontId="4" type="noConversion"/>
  </si>
  <si>
    <t>无尽迷宫指环</t>
    <phoneticPr fontId="4" type="noConversion"/>
  </si>
  <si>
    <t>汹涌毁灭之灰烬指环</t>
    <phoneticPr fontId="4" type="noConversion"/>
  </si>
  <si>
    <t>灰烬之裁-尊敬</t>
    <phoneticPr fontId="4" type="noConversion"/>
  </si>
  <si>
    <t>汹涌智慧之灰烬指环</t>
    <phoneticPr fontId="4" type="noConversion"/>
  </si>
  <si>
    <t>塞维娅娜的贡品</t>
    <phoneticPr fontId="4" type="noConversion"/>
  </si>
  <si>
    <t>RS10N</t>
    <phoneticPr fontId="4" type="noConversion"/>
  </si>
  <si>
    <t>樱红缠丝指环</t>
    <phoneticPr fontId="4" type="noConversion"/>
  </si>
  <si>
    <t>ICC10-鲜血议会</t>
    <phoneticPr fontId="4" type="noConversion"/>
  </si>
  <si>
    <t>腐败徽记</t>
    <phoneticPr fontId="4" type="noConversion"/>
  </si>
  <si>
    <t>ICC10-烂肠</t>
    <phoneticPr fontId="4" type="noConversion"/>
  </si>
  <si>
    <t>毁灭之灰烬指环</t>
    <phoneticPr fontId="4" type="noConversion"/>
  </si>
  <si>
    <t>灰烬之裁-友善</t>
    <phoneticPr fontId="4" type="noConversion"/>
  </si>
  <si>
    <t>智慧之灰烬指环</t>
    <phoneticPr fontId="4" type="noConversion"/>
  </si>
  <si>
    <t>属性</t>
    <phoneticPr fontId="4" type="noConversion"/>
  </si>
  <si>
    <t>焦黑暮光龙鳞</t>
    <phoneticPr fontId="4" type="noConversion"/>
  </si>
  <si>
    <t>装备:伤害法术触发+861法强 持续15秒</t>
  </si>
  <si>
    <t>明亮暮光龙鳞</t>
    <phoneticPr fontId="4" type="noConversion"/>
  </si>
  <si>
    <t>使用:直接治疗法术持续治疗附近目标6秒 2分钟冷却</t>
    <phoneticPr fontId="4" type="noConversion"/>
  </si>
  <si>
    <t>无名巫妖的护符匣</t>
    <phoneticPr fontId="4" type="noConversion"/>
  </si>
  <si>
    <t>装备:DOT触发+1207法强 持续20秒</t>
  </si>
  <si>
    <t>纯血珠饰</t>
    <phoneticPr fontId="4" type="noConversion"/>
  </si>
  <si>
    <t>使用:治疗7400-8600 2分钟冷却</t>
    <phoneticPr fontId="4" type="noConversion"/>
  </si>
  <si>
    <t>被摘除的外物</t>
    <phoneticPr fontId="4" type="noConversion"/>
  </si>
  <si>
    <t>装备:伤害法术触发每2秒+121法强 持续20秒</t>
  </si>
  <si>
    <t>阿尔索的算盘</t>
    <phoneticPr fontId="4" type="noConversion"/>
  </si>
  <si>
    <t>装备:治疗法术触发治疗其他目标6280生命</t>
    <phoneticPr fontId="4" type="noConversion"/>
  </si>
  <si>
    <t>装备:伤害法术触发+763法强 持续15秒</t>
  </si>
  <si>
    <t>穆拉丁的望远镜</t>
    <phoneticPr fontId="4" type="noConversion"/>
  </si>
  <si>
    <t>装备:法术造成伤害后+20法强持续10秒,叠10次</t>
  </si>
  <si>
    <t>纯冰薄片</t>
    <phoneticPr fontId="4" type="noConversion"/>
  </si>
  <si>
    <t>使用:恢复1830法力 2分钟冷却</t>
    <phoneticPr fontId="4" type="noConversion"/>
  </si>
  <si>
    <t>装备:DOT触发+1074法强 持续20秒</t>
  </si>
  <si>
    <t>装备:伤害法术触发每2秒+105法强 持续20秒</t>
  </si>
  <si>
    <t>装备:治疗法术触发治疗其他目标5550生命</t>
    <phoneticPr fontId="4" type="noConversion"/>
  </si>
  <si>
    <t>玛格娅的谬论之笔</t>
    <phoneticPr fontId="4" type="noConversion"/>
  </si>
  <si>
    <t>使用:+716法强 持续20秒 2分钟冷却</t>
    <phoneticPr fontId="4" type="noConversion"/>
  </si>
  <si>
    <t>纯净月尘</t>
    <phoneticPr fontId="4" type="noConversion"/>
  </si>
  <si>
    <t>装备:施法触发+304MP5 持续15秒</t>
    <phoneticPr fontId="4" type="noConversion"/>
  </si>
  <si>
    <t>装备:法术造成伤害后+18法强持续10秒,叠10次</t>
  </si>
  <si>
    <t>使用:恢复1625法力 2分钟冷却</t>
    <phoneticPr fontId="4" type="noConversion"/>
  </si>
  <si>
    <t>胸部</t>
    <phoneticPr fontId="1" type="noConversion"/>
  </si>
  <si>
    <t>手腕</t>
    <phoneticPr fontId="1" type="noConversion"/>
  </si>
  <si>
    <t>手部</t>
    <phoneticPr fontId="1" type="noConversion"/>
  </si>
  <si>
    <t>腰带</t>
    <phoneticPr fontId="1" type="noConversion"/>
  </si>
  <si>
    <t>腿部</t>
    <phoneticPr fontId="1" type="noConversion"/>
  </si>
  <si>
    <t>脚部</t>
    <phoneticPr fontId="1" type="noConversion"/>
  </si>
  <si>
    <t>智力</t>
    <phoneticPr fontId="1" type="noConversion"/>
  </si>
  <si>
    <t>精神</t>
    <phoneticPr fontId="1" type="noConversion"/>
  </si>
  <si>
    <t>法强</t>
    <phoneticPr fontId="1" type="noConversion"/>
  </si>
  <si>
    <t>急速</t>
    <phoneticPr fontId="1" type="noConversion"/>
  </si>
  <si>
    <t>暴击</t>
    <phoneticPr fontId="1" type="noConversion"/>
  </si>
  <si>
    <t>命中</t>
    <phoneticPr fontId="1" type="noConversion"/>
  </si>
  <si>
    <t>部位</t>
    <phoneticPr fontId="1" type="noConversion"/>
  </si>
  <si>
    <t>名称</t>
    <phoneticPr fontId="1" type="noConversion"/>
  </si>
  <si>
    <t>血色侍僧头巾</t>
    <phoneticPr fontId="4" type="noConversion"/>
  </si>
  <si>
    <t xml:space="preserve">血色侍僧罩帽 </t>
    <phoneticPr fontId="4" type="noConversion"/>
  </si>
  <si>
    <t>魔术师的龟裂兜帽</t>
    <phoneticPr fontId="4" type="noConversion"/>
  </si>
  <si>
    <t>石头2</t>
    <phoneticPr fontId="1" type="noConversion"/>
  </si>
  <si>
    <t>石头3</t>
    <phoneticPr fontId="1" type="noConversion"/>
  </si>
  <si>
    <t>亡语者女士的脆弱护腕</t>
  </si>
  <si>
    <t>手指1</t>
    <phoneticPr fontId="1" type="noConversion"/>
  </si>
  <si>
    <t>手指2</t>
    <phoneticPr fontId="1" type="noConversion"/>
  </si>
  <si>
    <t>饰品1</t>
    <phoneticPr fontId="1" type="noConversion"/>
  </si>
  <si>
    <t>饰品2</t>
    <phoneticPr fontId="1" type="noConversion"/>
  </si>
  <si>
    <t>被摘除的外物</t>
  </si>
  <si>
    <t>武器</t>
    <phoneticPr fontId="1" type="noConversion"/>
  </si>
  <si>
    <t>副手</t>
    <phoneticPr fontId="1" type="noConversion"/>
  </si>
  <si>
    <t>魔杖</t>
    <phoneticPr fontId="1" type="noConversion"/>
  </si>
  <si>
    <t>双手</t>
    <phoneticPr fontId="1" type="noConversion"/>
  </si>
  <si>
    <t>泰瑞纳斯二世的皇家权杖(H)</t>
    <phoneticPr fontId="4" type="noConversion"/>
  </si>
  <si>
    <t>创伤(H)</t>
    <phoneticPr fontId="4" type="noConversion"/>
  </si>
  <si>
    <t>冰封骨针(H)</t>
    <phoneticPr fontId="4" type="noConversion"/>
  </si>
  <si>
    <t>瓦琉斯，圣光使者之锤(H)</t>
    <phoneticPr fontId="4" type="noConversion"/>
  </si>
  <si>
    <t>泰尔萨斯，鲜血之王的匕首(H)</t>
    <phoneticPr fontId="4" type="noConversion"/>
  </si>
  <si>
    <t>考达拉寒风匕首(H)</t>
    <phoneticPr fontId="4" type="noConversion"/>
  </si>
  <si>
    <t>感染之伤(H)</t>
    <phoneticPr fontId="4" type="noConversion"/>
  </si>
  <si>
    <t>午夜之阳(H)</t>
    <phoneticPr fontId="4" type="noConversion"/>
  </si>
  <si>
    <t>亚库斯，安东尼达斯的圣杖(H)</t>
    <phoneticPr fontId="4" type="noConversion"/>
  </si>
  <si>
    <t>圣光将熄(H)</t>
    <phoneticPr fontId="4" type="noConversion"/>
  </si>
  <si>
    <t>尼伯龙根(H)</t>
    <phoneticPr fontId="4" type="noConversion"/>
  </si>
  <si>
    <t>尸煞(H)</t>
    <phoneticPr fontId="4" type="noConversion"/>
  </si>
  <si>
    <t>玛格汉大酋长的法杖(H)</t>
    <phoneticPr fontId="4" type="noConversion"/>
  </si>
  <si>
    <t>席瓦娜的苍穹法杖(H)</t>
    <phoneticPr fontId="4" type="noConversion"/>
  </si>
  <si>
    <t>尸煞</t>
    <phoneticPr fontId="4" type="noConversion"/>
  </si>
  <si>
    <t>尼伯龙根</t>
    <phoneticPr fontId="4" type="noConversion"/>
  </si>
  <si>
    <t>创伤</t>
    <phoneticPr fontId="4" type="noConversion"/>
  </si>
  <si>
    <t>永恒暮色日晷(H)</t>
    <phoneticPr fontId="4" type="noConversion"/>
  </si>
  <si>
    <t>影丝纺锤(H)</t>
    <phoneticPr fontId="4" type="noConversion"/>
  </si>
  <si>
    <t>天灾领主权杖(H)</t>
    <phoneticPr fontId="4" type="noConversion"/>
  </si>
  <si>
    <t>梦魇终结者(H)</t>
    <phoneticPr fontId="4" type="noConversion"/>
  </si>
  <si>
    <t>贯体之刺(H)</t>
    <phoneticPr fontId="4" type="noConversion"/>
  </si>
  <si>
    <t>兰娜瑟尔的染血之指(H)</t>
    <phoneticPr fontId="4" type="noConversion"/>
  </si>
  <si>
    <t>血红宝石魔杖(H)</t>
    <phoneticPr fontId="4" type="noConversion"/>
  </si>
  <si>
    <t>神圣血色侍僧头巾(H)</t>
    <phoneticPr fontId="4" type="noConversion"/>
  </si>
  <si>
    <t>神圣血色侍僧罩帽(H)</t>
    <phoneticPr fontId="4" type="noConversion"/>
  </si>
  <si>
    <t>科雷萨仪祭之冠(H)</t>
    <phoneticPr fontId="4" type="noConversion"/>
  </si>
  <si>
    <t>煞星沉眠法冠(H)</t>
    <phoneticPr fontId="4" type="noConversion"/>
  </si>
  <si>
    <t>魔术师的龟裂兜帽(H)</t>
    <phoneticPr fontId="4" type="noConversion"/>
  </si>
  <si>
    <t>鲜血皇后的殷红项圈(H)</t>
    <phoneticPr fontId="4" type="noConversion"/>
  </si>
  <si>
    <t>圣日的恩泽(H)</t>
    <phoneticPr fontId="4" type="noConversion"/>
  </si>
  <si>
    <t>默悼护符(H)</t>
    <phoneticPr fontId="4" type="noConversion"/>
  </si>
  <si>
    <t>冰冠斥候护符(H)</t>
    <phoneticPr fontId="4" type="noConversion"/>
  </si>
  <si>
    <t>血脉分离垂饰(H)</t>
    <phoneticPr fontId="4" type="noConversion"/>
  </si>
  <si>
    <t>秽珠项圈(H)</t>
    <phoneticPr fontId="4" type="noConversion"/>
  </si>
  <si>
    <t>斩魂垂饰(H)</t>
    <phoneticPr fontId="4" type="noConversion"/>
  </si>
  <si>
    <t>神圣血色侍僧衬肩(H)</t>
    <phoneticPr fontId="4" type="noConversion"/>
  </si>
  <si>
    <t xml:space="preserve"> 神圣血色侍僧肩垫 (H)</t>
    <phoneticPr fontId="4" type="noConversion"/>
  </si>
  <si>
    <t>仁慈杀戮肩甲(H)</t>
    <phoneticPr fontId="4" type="noConversion"/>
  </si>
  <si>
    <t>迟暮肩甲(H)</t>
    <phoneticPr fontId="4" type="noConversion"/>
  </si>
  <si>
    <t>浸血的医师护肩(H)</t>
    <phoneticPr fontId="4" type="noConversion"/>
  </si>
  <si>
    <t>暮色蒸腾披风(H)</t>
    <phoneticPr fontId="4" type="noConversion"/>
  </si>
  <si>
    <t>霜缚者的残破斗篷(H)</t>
    <phoneticPr fontId="4" type="noConversion"/>
  </si>
  <si>
    <t>叛变勇士的大氅(H)</t>
    <phoneticPr fontId="4" type="noConversion"/>
  </si>
  <si>
    <t>诱导之帽(H)</t>
    <phoneticPr fontId="4" type="noConversion"/>
  </si>
  <si>
    <t>巫妖裹布(H)</t>
    <phoneticPr fontId="4" type="noConversion"/>
  </si>
  <si>
    <t>悲痛抚平者斗篷(H)</t>
    <phoneticPr fontId="4" type="noConversion"/>
  </si>
  <si>
    <t>神圣血色侍僧罩袍(H)</t>
    <phoneticPr fontId="4" type="noConversion"/>
  </si>
  <si>
    <t>神圣血色侍僧法袍(H)</t>
    <phoneticPr fontId="4" type="noConversion"/>
  </si>
  <si>
    <t>噩梦乍醒法袍(H)</t>
    <phoneticPr fontId="4" type="noConversion"/>
  </si>
  <si>
    <t>血红丝质长袍(H)</t>
    <phoneticPr fontId="4" type="noConversion"/>
  </si>
  <si>
    <t>碧空流落法袍(H)</t>
    <phoneticPr fontId="4" type="noConversion"/>
  </si>
  <si>
    <t>血魂法衣(H)</t>
    <phoneticPr fontId="4" type="noConversion"/>
  </si>
  <si>
    <t>火夜护腕(H)</t>
    <phoneticPr fontId="4" type="noConversion"/>
  </si>
  <si>
    <t>死亡医师的袖腕(H)</t>
    <phoneticPr fontId="4" type="noConversion"/>
  </si>
  <si>
    <t>亡语者女士的脆弱护腕(H)</t>
    <phoneticPr fontId="4" type="noConversion"/>
  </si>
  <si>
    <t>药浸护腕(H)</t>
    <phoneticPr fontId="4" type="noConversion"/>
  </si>
  <si>
    <t>黑暗祝福护腕(H)</t>
    <phoneticPr fontId="4" type="noConversion"/>
  </si>
  <si>
    <t>神圣血色侍僧裹手(H)</t>
    <phoneticPr fontId="4" type="noConversion"/>
  </si>
  <si>
    <t>神圣血色侍僧手套(H)</t>
    <phoneticPr fontId="4" type="noConversion"/>
  </si>
  <si>
    <t>萨莱因仪祭手套(H)</t>
    <phoneticPr fontId="4" type="noConversion"/>
  </si>
  <si>
    <t>炮艇上尉的护手(H)</t>
    <phoneticPr fontId="4" type="noConversion"/>
  </si>
  <si>
    <t>断指手套(H)</t>
    <phoneticPr fontId="4" type="noConversion"/>
  </si>
  <si>
    <t>女武神护手(H)</t>
    <phoneticPr fontId="4" type="noConversion"/>
  </si>
  <si>
    <t>顽疾束带(H)</t>
    <phoneticPr fontId="4" type="noConversion"/>
  </si>
  <si>
    <t>破碎冷魂腰带(H)</t>
    <phoneticPr fontId="4" type="noConversion"/>
  </si>
  <si>
    <t>灼烧束带(H)</t>
    <phoneticPr fontId="4" type="noConversion"/>
  </si>
  <si>
    <t>恩医束带(H)</t>
    <phoneticPr fontId="4" type="noConversion"/>
  </si>
  <si>
    <t>神圣血色侍僧长裤(H)</t>
    <phoneticPr fontId="4" type="noConversion"/>
  </si>
  <si>
    <t>神圣血色侍僧护腿(H)</t>
    <phoneticPr fontId="4" type="noConversion"/>
  </si>
  <si>
    <t>天灾使者的污斑长裤(H)</t>
    <phoneticPr fontId="4" type="noConversion"/>
  </si>
  <si>
    <t>心灵映射护腿(H)</t>
    <phoneticPr fontId="4" type="noConversion"/>
  </si>
  <si>
    <t>新伤褶裙(H)</t>
    <phoneticPr fontId="4" type="noConversion"/>
  </si>
  <si>
    <t>天灾科学家长靴(H)</t>
    <phoneticPr fontId="4" type="noConversion"/>
  </si>
  <si>
    <t>白凶长靴(H)</t>
    <phoneticPr fontId="4" type="noConversion"/>
  </si>
  <si>
    <t>冰冠尖塔便鞋(H)</t>
    <phoneticPr fontId="4" type="noConversion"/>
  </si>
  <si>
    <t>定向恢复之戒(H)</t>
    <phoneticPr fontId="4" type="noConversion"/>
  </si>
  <si>
    <t>玛利苟斯的回忆(H)</t>
    <phoneticPr fontId="4" type="noConversion"/>
  </si>
  <si>
    <t>瓦拉纳的备用徽记之戒(H)</t>
    <phoneticPr fontId="4" type="noConversion"/>
  </si>
  <si>
    <t>愈合血环(H)</t>
    <phoneticPr fontId="4" type="noConversion"/>
  </si>
  <si>
    <t>飞升之戒(H)</t>
    <phoneticPr fontId="4" type="noConversion"/>
  </si>
  <si>
    <t>狂语之戒(H)</t>
    <phoneticPr fontId="4" type="noConversion"/>
  </si>
  <si>
    <t>玛洛加尔的寒冰之瞳(H)</t>
    <phoneticPr fontId="4" type="noConversion"/>
  </si>
  <si>
    <t>无尽迷宫指环(H)</t>
    <phoneticPr fontId="4" type="noConversion"/>
  </si>
  <si>
    <t>塞维娅娜的贡品(H)</t>
    <phoneticPr fontId="4" type="noConversion"/>
  </si>
  <si>
    <t>樱红缠丝指环(H)</t>
    <phoneticPr fontId="4" type="noConversion"/>
  </si>
  <si>
    <t>腐败徽记(H)</t>
    <phoneticPr fontId="4" type="noConversion"/>
  </si>
  <si>
    <t>焦黑暮光龙鳞(H)</t>
    <phoneticPr fontId="4" type="noConversion"/>
  </si>
  <si>
    <t>明亮暮光龙鳞(H)</t>
    <phoneticPr fontId="4" type="noConversion"/>
  </si>
  <si>
    <t>纯血珠饰(H)</t>
    <phoneticPr fontId="4" type="noConversion"/>
  </si>
  <si>
    <t>被摘除的外物(H)</t>
    <phoneticPr fontId="4" type="noConversion"/>
  </si>
  <si>
    <t>阿尔索的算盘(H)</t>
    <phoneticPr fontId="4" type="noConversion"/>
  </si>
  <si>
    <t>穆拉丁的望远镜(H)</t>
    <phoneticPr fontId="4" type="noConversion"/>
  </si>
  <si>
    <t>纯冰薄片(H)</t>
    <phoneticPr fontId="4" type="noConversion"/>
  </si>
  <si>
    <t>颜色</t>
    <phoneticPr fontId="4" type="noConversion"/>
  </si>
  <si>
    <t>红</t>
    <phoneticPr fontId="1" type="noConversion"/>
  </si>
  <si>
    <t>橙</t>
    <phoneticPr fontId="1" type="noConversion"/>
  </si>
  <si>
    <t>黄</t>
    <phoneticPr fontId="1" type="noConversion"/>
  </si>
  <si>
    <t>黄</t>
    <phoneticPr fontId="1" type="noConversion"/>
  </si>
  <si>
    <t>紫</t>
    <phoneticPr fontId="1" type="noConversion"/>
  </si>
  <si>
    <t>蓝</t>
    <phoneticPr fontId="1" type="noConversion"/>
  </si>
  <si>
    <t>合计</t>
    <phoneticPr fontId="1" type="noConversion"/>
  </si>
  <si>
    <t>附魔</t>
    <phoneticPr fontId="1" type="noConversion"/>
  </si>
  <si>
    <t>23法术强度</t>
  </si>
  <si>
    <t>23法术强度</t>
    <phoneticPr fontId="1" type="noConversion"/>
  </si>
  <si>
    <t>12法术强度10急速</t>
    <phoneticPr fontId="1" type="noConversion"/>
  </si>
  <si>
    <t>12法术强度10暴击</t>
    <phoneticPr fontId="1" type="noConversion"/>
  </si>
  <si>
    <t>12法术强度10命中</t>
    <phoneticPr fontId="1" type="noConversion"/>
  </si>
  <si>
    <t>20急速</t>
    <phoneticPr fontId="1" type="noConversion"/>
  </si>
  <si>
    <t>20暴击</t>
    <phoneticPr fontId="1" type="noConversion"/>
  </si>
  <si>
    <t>20命中</t>
    <phoneticPr fontId="1" type="noConversion"/>
  </si>
  <si>
    <t>12法术强度10精神</t>
  </si>
  <si>
    <t>12法术强度10精神</t>
    <phoneticPr fontId="1" type="noConversion"/>
  </si>
  <si>
    <t>12法术强度10智力</t>
    <phoneticPr fontId="1" type="noConversion"/>
  </si>
  <si>
    <t>橙</t>
    <phoneticPr fontId="1" type="noConversion"/>
  </si>
  <si>
    <t>20精神</t>
    <phoneticPr fontId="1" type="noConversion"/>
  </si>
  <si>
    <t xml:space="preserve">神圣血色侍僧头巾 </t>
    <phoneticPr fontId="4" type="noConversion"/>
  </si>
  <si>
    <t>特效（勿动）</t>
    <phoneticPr fontId="1" type="noConversion"/>
  </si>
  <si>
    <t>Spyglass</t>
    <phoneticPr fontId="1" type="noConversion"/>
  </si>
  <si>
    <t>DislodgedObject</t>
    <phoneticPr fontId="1" type="noConversion"/>
  </si>
  <si>
    <t>SpyglassH</t>
    <phoneticPr fontId="1" type="noConversion"/>
  </si>
  <si>
    <t>插槽奖励</t>
    <phoneticPr fontId="1" type="noConversion"/>
  </si>
  <si>
    <t>无</t>
  </si>
  <si>
    <t>无</t>
    <phoneticPr fontId="1" type="noConversion"/>
  </si>
  <si>
    <t>--</t>
    <phoneticPr fontId="1" type="noConversion"/>
  </si>
  <si>
    <t>插槽</t>
    <phoneticPr fontId="1" type="noConversion"/>
  </si>
  <si>
    <t>12法术强度10急速</t>
  </si>
  <si>
    <t>肩部</t>
    <phoneticPr fontId="1" type="noConversion"/>
  </si>
  <si>
    <t>石头1</t>
    <phoneticPr fontId="1" type="noConversion"/>
  </si>
  <si>
    <t>附魔名称</t>
    <phoneticPr fontId="1" type="noConversion"/>
  </si>
  <si>
    <t>特效</t>
    <phoneticPr fontId="4" type="noConversion"/>
  </si>
  <si>
    <t>燃烧谜团秘药</t>
  </si>
  <si>
    <t>凶残角斗士秘药</t>
  </si>
  <si>
    <t>祝福治愈秘药</t>
  </si>
  <si>
    <t>--</t>
    <phoneticPr fontId="1" type="noConversion"/>
  </si>
  <si>
    <t>特效</t>
    <phoneticPr fontId="1" type="noConversion"/>
  </si>
  <si>
    <t>强效风暴铭文</t>
  </si>
  <si>
    <t>强效峭壁铭文</t>
  </si>
  <si>
    <t>头部</t>
    <phoneticPr fontId="1" type="noConversion"/>
  </si>
  <si>
    <t>附魔名称</t>
    <phoneticPr fontId="1" type="noConversion"/>
  </si>
  <si>
    <t>特效</t>
    <phoneticPr fontId="1" type="noConversion"/>
  </si>
  <si>
    <t>27法术强度</t>
    <phoneticPr fontId="1" type="noConversion"/>
  </si>
  <si>
    <t>23急速</t>
    <phoneticPr fontId="1" type="noConversion"/>
  </si>
  <si>
    <t>10精神</t>
    <phoneticPr fontId="1" type="noConversion"/>
  </si>
  <si>
    <t>光纹刺绣</t>
  </si>
  <si>
    <t>附魔名称</t>
    <phoneticPr fontId="1" type="noConversion"/>
  </si>
  <si>
    <t>10属性</t>
  </si>
  <si>
    <t>10属性</t>
    <phoneticPr fontId="1" type="noConversion"/>
  </si>
  <si>
    <t>15精神</t>
    <phoneticPr fontId="1" type="noConversion"/>
  </si>
  <si>
    <t>30法术强度</t>
  </si>
  <si>
    <t>30法术强度</t>
    <phoneticPr fontId="1" type="noConversion"/>
  </si>
  <si>
    <t>18精神</t>
    <phoneticPr fontId="1" type="noConversion"/>
  </si>
  <si>
    <t>6属性</t>
    <phoneticPr fontId="1" type="noConversion"/>
  </si>
  <si>
    <t>超级加速器</t>
    <phoneticPr fontId="1" type="noConversion"/>
  </si>
  <si>
    <t>28法术强度</t>
    <phoneticPr fontId="1" type="noConversion"/>
  </si>
  <si>
    <t>火箭炮</t>
    <phoneticPr fontId="1" type="noConversion"/>
  </si>
  <si>
    <t>20命中</t>
  </si>
  <si>
    <t>20命中</t>
    <phoneticPr fontId="1" type="noConversion"/>
  </si>
  <si>
    <t>Rocket</t>
    <phoneticPr fontId="1" type="noConversion"/>
  </si>
  <si>
    <t>50法术强度20精神</t>
  </si>
  <si>
    <t>50法术强度20精神</t>
    <phoneticPr fontId="1" type="noConversion"/>
  </si>
  <si>
    <t>50法术强度20耐力</t>
    <phoneticPr fontId="1" type="noConversion"/>
  </si>
  <si>
    <t>硝化甘油推进器</t>
  </si>
  <si>
    <t>硝化甘油推进器</t>
    <phoneticPr fontId="1" type="noConversion"/>
  </si>
  <si>
    <t>18精神</t>
    <phoneticPr fontId="1" type="noConversion"/>
  </si>
  <si>
    <t>12暴击12命中</t>
    <phoneticPr fontId="1" type="noConversion"/>
  </si>
  <si>
    <t>23法术强度</t>
    <phoneticPr fontId="1" type="noConversion"/>
  </si>
  <si>
    <t>无</t>
    <phoneticPr fontId="1" type="noConversion"/>
  </si>
  <si>
    <t>黑魔法</t>
    <phoneticPr fontId="1" type="noConversion"/>
  </si>
  <si>
    <t>BlackMagic</t>
    <phoneticPr fontId="1" type="noConversion"/>
  </si>
  <si>
    <t>63法术强度</t>
  </si>
  <si>
    <t>63法术强度</t>
    <phoneticPr fontId="1" type="noConversion"/>
  </si>
  <si>
    <t>81法术强度(双手)</t>
    <phoneticPr fontId="1" type="noConversion"/>
  </si>
  <si>
    <t>命中</t>
  </si>
  <si>
    <t>命中</t>
    <phoneticPr fontId="1" type="noConversion"/>
  </si>
  <si>
    <t>死亡编织护腿</t>
  </si>
  <si>
    <t>永恒毁灭之灰烬指环*</t>
  </si>
  <si>
    <t>穆拉丁的望远镜(H)</t>
  </si>
  <si>
    <t>天灾领主权杖(H)</t>
  </si>
  <si>
    <t>属性</t>
    <phoneticPr fontId="1" type="noConversion"/>
  </si>
  <si>
    <t>数值</t>
    <phoneticPr fontId="1" type="noConversion"/>
  </si>
  <si>
    <t>效用</t>
    <phoneticPr fontId="1" type="noConversion"/>
  </si>
  <si>
    <t>PP</t>
    <phoneticPr fontId="1" type="noConversion"/>
  </si>
  <si>
    <t>技能</t>
    <phoneticPr fontId="1" type="noConversion"/>
  </si>
  <si>
    <t>CD</t>
    <phoneticPr fontId="1" type="noConversion"/>
  </si>
  <si>
    <t>延迟</t>
    <phoneticPr fontId="1" type="noConversion"/>
  </si>
  <si>
    <t>每跳时间</t>
    <phoneticPr fontId="1" type="noConversion"/>
  </si>
  <si>
    <t>法伤</t>
  </si>
  <si>
    <t>吸血鬼之触</t>
  </si>
  <si>
    <t>暗言术：痛</t>
  </si>
  <si>
    <t>暴击</t>
  </si>
  <si>
    <t>心灵震爆</t>
  </si>
  <si>
    <t>-</t>
    <phoneticPr fontId="1" type="noConversion"/>
  </si>
  <si>
    <t>急速</t>
  </si>
  <si>
    <t>精神鞭笞</t>
    <phoneticPr fontId="1" type="noConversion"/>
  </si>
  <si>
    <t>智力</t>
  </si>
  <si>
    <t>噬灵疫病</t>
  </si>
  <si>
    <t>精神</t>
  </si>
  <si>
    <t>暗言术：灭</t>
  </si>
  <si>
    <t>合计</t>
    <phoneticPr fontId="1" type="noConversion"/>
  </si>
  <si>
    <t>两段鞭</t>
    <phoneticPr fontId="1" type="noConversion"/>
  </si>
  <si>
    <t>套装效果</t>
  </si>
  <si>
    <t>件数</t>
  </si>
  <si>
    <t>PP</t>
    <phoneticPr fontId="1" type="noConversion"/>
  </si>
  <si>
    <t>专业</t>
    <phoneticPr fontId="1" type="noConversion"/>
  </si>
  <si>
    <t>有/无</t>
    <phoneticPr fontId="1" type="noConversion"/>
  </si>
  <si>
    <t>T8</t>
    <phoneticPr fontId="1" type="noConversion"/>
  </si>
  <si>
    <t>裁缝</t>
    <phoneticPr fontId="1" type="noConversion"/>
  </si>
  <si>
    <t>T9</t>
    <phoneticPr fontId="1" type="noConversion"/>
  </si>
  <si>
    <t>工程</t>
    <phoneticPr fontId="1" type="noConversion"/>
  </si>
  <si>
    <t>套装修正</t>
    <phoneticPr fontId="1" type="noConversion"/>
  </si>
  <si>
    <t>专业修正</t>
    <phoneticPr fontId="1" type="noConversion"/>
  </si>
  <si>
    <t>序号</t>
    <phoneticPr fontId="1" type="noConversion"/>
  </si>
  <si>
    <t>目标</t>
    <phoneticPr fontId="1" type="noConversion"/>
  </si>
  <si>
    <t>起手顺序</t>
    <phoneticPr fontId="1" type="noConversion"/>
  </si>
  <si>
    <t>耗时</t>
    <phoneticPr fontId="1" type="noConversion"/>
  </si>
  <si>
    <t>累计</t>
    <phoneticPr fontId="1" type="noConversion"/>
  </si>
  <si>
    <t>天赋</t>
    <phoneticPr fontId="1" type="noConversion"/>
  </si>
  <si>
    <t>点数</t>
    <phoneticPr fontId="1" type="noConversion"/>
  </si>
  <si>
    <t>BOSS木桩</t>
  </si>
  <si>
    <t>强化心暴</t>
    <phoneticPr fontId="1" type="noConversion"/>
  </si>
  <si>
    <t>噬灵疫病</t>
    <phoneticPr fontId="1" type="noConversion"/>
  </si>
  <si>
    <t>心灵震爆</t>
    <phoneticPr fontId="1" type="noConversion"/>
  </si>
  <si>
    <t>其他技能</t>
    <phoneticPr fontId="1" type="noConversion"/>
  </si>
  <si>
    <t>次数</t>
    <phoneticPr fontId="1" type="noConversion"/>
  </si>
  <si>
    <t>暗影魔</t>
    <phoneticPr fontId="1" type="noConversion"/>
  </si>
  <si>
    <t>奥数洪流</t>
    <phoneticPr fontId="1" type="noConversion"/>
  </si>
  <si>
    <t>其他</t>
    <phoneticPr fontId="1" type="noConversion"/>
  </si>
  <si>
    <t>技能</t>
  </si>
  <si>
    <t>实际次数</t>
  </si>
  <si>
    <t>理论次数</t>
  </si>
  <si>
    <t>比率</t>
  </si>
  <si>
    <t>总伤害</t>
  </si>
  <si>
    <t>评价</t>
  </si>
  <si>
    <t>DPS损失</t>
  </si>
  <si>
    <t>精神鞭笞</t>
  </si>
  <si>
    <t>---</t>
    <phoneticPr fontId="1" type="noConversion"/>
  </si>
  <si>
    <t>强化噬灵疫病</t>
  </si>
  <si>
    <t>其他</t>
  </si>
  <si>
    <t>平均延迟</t>
    <phoneticPr fontId="1" type="noConversion"/>
  </si>
  <si>
    <t>Recount DPS</t>
    <phoneticPr fontId="1" type="noConversion"/>
  </si>
  <si>
    <t>DPS 损失</t>
    <phoneticPr fontId="1" type="noConversion"/>
  </si>
  <si>
    <t>战斗耗时</t>
    <phoneticPr fontId="1" type="noConversion"/>
  </si>
  <si>
    <t>实际 DPS</t>
    <phoneticPr fontId="1" type="noConversion"/>
  </si>
  <si>
    <t>DPS 损失率</t>
    <phoneticPr fontId="1" type="noConversion"/>
  </si>
  <si>
    <t>心暴间隔</t>
    <phoneticPr fontId="1" type="noConversion"/>
  </si>
  <si>
    <t>参考 DPS</t>
    <phoneticPr fontId="1" type="noConversion"/>
  </si>
  <si>
    <t xml:space="preserve">神圣血色侍僧头巾 </t>
  </si>
  <si>
    <t>斩魂垂饰</t>
  </si>
  <si>
    <t>神圣血色侍僧衬肩</t>
  </si>
  <si>
    <t>叛变勇士的大氅</t>
  </si>
  <si>
    <t>神圣血色侍僧罩袍</t>
  </si>
  <si>
    <t>神圣血色侍僧裹手</t>
  </si>
  <si>
    <t>破碎冷魂腰带</t>
  </si>
  <si>
    <t>12法术强度10命中</t>
  </si>
  <si>
    <t>多彩</t>
    <phoneticPr fontId="1" type="noConversion"/>
  </si>
  <si>
    <t>明亮之大地侵攻钻石</t>
  </si>
  <si>
    <t>灰烬之天焰钻石</t>
  </si>
  <si>
    <t>备注</t>
    <phoneticPr fontId="1" type="noConversion"/>
  </si>
  <si>
    <t>+2% Mana</t>
    <phoneticPr fontId="1" type="noConversion"/>
  </si>
  <si>
    <t>+2%智力</t>
    <phoneticPr fontId="1" type="noConversion"/>
  </si>
  <si>
    <t>洞察之大地侵攻钻石</t>
  </si>
  <si>
    <t>有一定几率回复法力值</t>
    <phoneticPr fontId="1" type="noConversion"/>
  </si>
  <si>
    <t>鼓舞之大地侵攻钻石</t>
  </si>
  <si>
    <t>-2%威胁</t>
    <phoneticPr fontId="1" type="noConversion"/>
  </si>
  <si>
    <t>混乱之天焰钻石</t>
  </si>
  <si>
    <t>+3%暴击伤害</t>
    <phoneticPr fontId="1" type="noConversion"/>
  </si>
  <si>
    <t>--</t>
    <phoneticPr fontId="1" type="noConversion"/>
  </si>
  <si>
    <t>39法术强度</t>
    <phoneticPr fontId="1" type="noConversion"/>
  </si>
  <si>
    <t>红</t>
    <phoneticPr fontId="1" type="noConversion"/>
  </si>
  <si>
    <t>特效</t>
    <phoneticPr fontId="1" type="noConversion"/>
  </si>
  <si>
    <t>项链</t>
    <phoneticPr fontId="1" type="noConversion"/>
  </si>
  <si>
    <t>披风</t>
    <phoneticPr fontId="1" type="noConversion"/>
  </si>
  <si>
    <t>超级加速器</t>
  </si>
  <si>
    <t>HyperSpeedAcc</t>
    <phoneticPr fontId="1" type="noConversion"/>
  </si>
  <si>
    <t>MetaChaoic</t>
    <phoneticPr fontId="1" type="noConversion"/>
  </si>
  <si>
    <t>Meta2Intel</t>
    <phoneticPr fontId="1" type="noConversion"/>
  </si>
  <si>
    <t>基础属性</t>
    <phoneticPr fontId="1" type="noConversion"/>
  </si>
  <si>
    <t>人类</t>
    <phoneticPr fontId="1" type="noConversion"/>
  </si>
  <si>
    <t>矮人</t>
    <phoneticPr fontId="1" type="noConversion"/>
  </si>
  <si>
    <t>暗夜精灵</t>
    <phoneticPr fontId="1" type="noConversion"/>
  </si>
  <si>
    <t>德莱尼</t>
    <phoneticPr fontId="1" type="noConversion"/>
  </si>
  <si>
    <t>巨魔</t>
    <phoneticPr fontId="1" type="noConversion"/>
  </si>
  <si>
    <t>亡灵</t>
    <phoneticPr fontId="1" type="noConversion"/>
  </si>
  <si>
    <t>血精灵</t>
    <phoneticPr fontId="1" type="noConversion"/>
  </si>
  <si>
    <t>Human3Spirit</t>
    <phoneticPr fontId="1" type="noConversion"/>
  </si>
  <si>
    <t>版本</t>
    <phoneticPr fontId="1" type="noConversion"/>
  </si>
  <si>
    <t>34智力</t>
    <phoneticPr fontId="1" type="noConversion"/>
  </si>
  <si>
    <t>34急速</t>
    <phoneticPr fontId="1" type="noConversion"/>
  </si>
  <si>
    <t>34精神</t>
    <phoneticPr fontId="1" type="noConversion"/>
  </si>
  <si>
    <t>黄</t>
    <phoneticPr fontId="1" type="noConversion"/>
  </si>
  <si>
    <t>蓝</t>
    <phoneticPr fontId="1" type="noConversion"/>
  </si>
  <si>
    <t>序号</t>
    <phoneticPr fontId="1" type="noConversion"/>
  </si>
  <si>
    <t>伤害名称</t>
    <phoneticPr fontId="1" type="noConversion"/>
  </si>
  <si>
    <t>暴击数</t>
    <phoneticPr fontId="1" type="noConversion"/>
  </si>
  <si>
    <t>总伤害</t>
    <phoneticPr fontId="1" type="noConversion"/>
  </si>
  <si>
    <t>暴击率</t>
    <phoneticPr fontId="1" type="noConversion"/>
  </si>
  <si>
    <t>次数</t>
    <phoneticPr fontId="1" type="noConversion"/>
  </si>
  <si>
    <t>DPS</t>
    <phoneticPr fontId="1" type="noConversion"/>
  </si>
  <si>
    <t>合计</t>
    <phoneticPr fontId="1" type="noConversion"/>
  </si>
  <si>
    <t>DislodgedObjectH</t>
    <phoneticPr fontId="1" type="noConversion"/>
  </si>
  <si>
    <t>LightWeave</t>
    <phoneticPr fontId="1" type="noConversion"/>
  </si>
  <si>
    <t>特效</t>
    <phoneticPr fontId="1" type="noConversion"/>
  </si>
  <si>
    <t>AshenBand</t>
    <phoneticPr fontId="1" type="noConversion"/>
  </si>
  <si>
    <t>百分比</t>
    <phoneticPr fontId="1" type="noConversion"/>
  </si>
  <si>
    <t>有</t>
    <phoneticPr fontId="1" type="noConversion"/>
  </si>
  <si>
    <t>无</t>
    <phoneticPr fontId="1" type="noConversion"/>
  </si>
  <si>
    <t>硫磺燃杖</t>
  </si>
  <si>
    <t>牌子</t>
    <phoneticPr fontId="1" type="noConversion"/>
  </si>
  <si>
    <t>暴怒角斗士的迅猛之刃</t>
  </si>
  <si>
    <t>+5法强</t>
    <phoneticPr fontId="1" type="noConversion"/>
  </si>
  <si>
    <t>竞技场</t>
    <phoneticPr fontId="1" type="noConversion"/>
  </si>
  <si>
    <t>孀妇长靴(H)</t>
  </si>
  <si>
    <t>孀妇长靴(H)</t>
    <phoneticPr fontId="1" type="noConversion"/>
  </si>
  <si>
    <t>+7法强</t>
    <phoneticPr fontId="1" type="noConversion"/>
  </si>
  <si>
    <t>HTOC25</t>
    <phoneticPr fontId="1" type="noConversion"/>
  </si>
  <si>
    <t>平均延迟</t>
    <phoneticPr fontId="1" type="noConversion"/>
  </si>
  <si>
    <t>秒</t>
    <phoneticPr fontId="1" type="noConversion"/>
  </si>
  <si>
    <t>毫秒</t>
    <phoneticPr fontId="1" type="noConversion"/>
  </si>
  <si>
    <t>部分抵抗</t>
    <phoneticPr fontId="1" type="noConversion"/>
  </si>
  <si>
    <t>打开</t>
    <phoneticPr fontId="1" type="noConversion"/>
  </si>
  <si>
    <t>关闭</t>
    <phoneticPr fontId="1" type="noConversion"/>
  </si>
  <si>
    <t>打开</t>
  </si>
  <si>
    <t>飞升之戒(H)</t>
  </si>
  <si>
    <t>战斗记录输出</t>
    <phoneticPr fontId="1" type="noConversion"/>
  </si>
  <si>
    <t>PriestSets.TwoT10</t>
  </si>
  <si>
    <t>计算时间</t>
    <phoneticPr fontId="1" type="noConversion"/>
  </si>
  <si>
    <t>项目</t>
    <phoneticPr fontId="1" type="noConversion"/>
  </si>
  <si>
    <t>设置</t>
    <phoneticPr fontId="1" type="noConversion"/>
  </si>
  <si>
    <t>单位</t>
    <phoneticPr fontId="1" type="noConversion"/>
  </si>
  <si>
    <t>暴怒角斗士的轻杖</t>
  </si>
  <si>
    <t>暴怒角斗士的冲突法杖</t>
  </si>
  <si>
    <t>暴怒角斗士的敏锐法杖</t>
  </si>
  <si>
    <t>+7法强</t>
    <phoneticPr fontId="1" type="noConversion"/>
  </si>
  <si>
    <t>竞技场</t>
    <phoneticPr fontId="1" type="noConversion"/>
  </si>
  <si>
    <t>海里昂，遗忘之爱</t>
  </si>
  <si>
    <t>海里昂，遗忘之爱(H)</t>
    <phoneticPr fontId="1" type="noConversion"/>
  </si>
  <si>
    <t>+9法强</t>
    <phoneticPr fontId="1" type="noConversion"/>
  </si>
  <si>
    <t>ICC10-巫妖王H</t>
    <phoneticPr fontId="1" type="noConversion"/>
  </si>
  <si>
    <t>暴怒角斗士的能量法杖</t>
    <phoneticPr fontId="1" type="noConversion"/>
  </si>
  <si>
    <t>暴怒角斗士的作战法杖</t>
    <phoneticPr fontId="1" type="noConversion"/>
  </si>
  <si>
    <t>暴怒角斗士的战斗法杖</t>
    <phoneticPr fontId="1" type="noConversion"/>
  </si>
  <si>
    <t>ICC10-巫妖王</t>
    <phoneticPr fontId="1" type="noConversion"/>
  </si>
  <si>
    <t>+6暴击</t>
    <phoneticPr fontId="1" type="noConversion"/>
  </si>
  <si>
    <t>TOC10-阿努巴拉克H</t>
    <phoneticPr fontId="1" type="noConversion"/>
  </si>
  <si>
    <t>凝霜</t>
    <phoneticPr fontId="1" type="noConversion"/>
  </si>
  <si>
    <t>启迪</t>
    <phoneticPr fontId="1" type="noConversion"/>
  </si>
  <si>
    <t>+8急速</t>
    <phoneticPr fontId="1" type="noConversion"/>
  </si>
  <si>
    <t>暴怒角斗士的拯救</t>
    <phoneticPr fontId="1" type="noConversion"/>
  </si>
  <si>
    <t>+5法强</t>
    <phoneticPr fontId="1" type="noConversion"/>
  </si>
  <si>
    <t>竞技场</t>
    <phoneticPr fontId="1" type="noConversion"/>
  </si>
  <si>
    <t>暴怒角斗士的木槌</t>
    <phoneticPr fontId="1" type="noConversion"/>
  </si>
  <si>
    <t>+5法强</t>
    <phoneticPr fontId="1" type="noConversion"/>
  </si>
  <si>
    <t>哀难的终结(H)</t>
    <phoneticPr fontId="1" type="noConversion"/>
  </si>
  <si>
    <t>TOC25-阿努巴拉克(H)</t>
    <phoneticPr fontId="1" type="noConversion"/>
  </si>
  <si>
    <t>哀难的终结</t>
    <phoneticPr fontId="1" type="noConversion"/>
  </si>
  <si>
    <t>TOC25-阿努巴拉克</t>
    <phoneticPr fontId="1" type="noConversion"/>
  </si>
  <si>
    <t>银色治愈者</t>
    <phoneticPr fontId="1" type="noConversion"/>
  </si>
  <si>
    <t>TOC10-阿努巴拉克H</t>
    <phoneticPr fontId="1" type="noConversion"/>
  </si>
  <si>
    <t>碎心者</t>
    <phoneticPr fontId="1" type="noConversion"/>
  </si>
  <si>
    <t>暴怒角斗士的魔刃</t>
    <phoneticPr fontId="1" type="noConversion"/>
  </si>
  <si>
    <t>狂乱之刃(H)</t>
    <phoneticPr fontId="1" type="noConversion"/>
  </si>
  <si>
    <t>TOC25-诺森德猛兽H</t>
    <phoneticPr fontId="1" type="noConversion"/>
  </si>
  <si>
    <t>砺亮的秘法之牙</t>
  </si>
  <si>
    <t>黑龙25</t>
    <phoneticPr fontId="1" type="noConversion"/>
  </si>
  <si>
    <t>银色信徒之刃</t>
  </si>
  <si>
    <t>+4暴击</t>
    <phoneticPr fontId="1" type="noConversion"/>
  </si>
  <si>
    <t>TOC10-部落勇士H</t>
    <phoneticPr fontId="1" type="noConversion"/>
  </si>
  <si>
    <t>狂乱之刃</t>
  </si>
  <si>
    <t>TOC25-诺森德猛兽</t>
    <phoneticPr fontId="1" type="noConversion"/>
  </si>
  <si>
    <t>暴怒角斗士的光明法杖</t>
  </si>
  <si>
    <t>暴怒角斗士的穿刺之触</t>
  </si>
  <si>
    <t>暴怒角斗士的活跃手杖</t>
  </si>
  <si>
    <t>暴怒角斗士的挫败之触</t>
  </si>
  <si>
    <t>TOC10H</t>
    <phoneticPr fontId="1" type="noConversion"/>
  </si>
  <si>
    <t>碎魂者</t>
  </si>
  <si>
    <t>倒影大厅</t>
    <phoneticPr fontId="1" type="noConversion"/>
  </si>
  <si>
    <t>灵魂囚禁手杖(H)</t>
    <phoneticPr fontId="1" type="noConversion"/>
  </si>
  <si>
    <t>TOC10</t>
    <phoneticPr fontId="1" type="noConversion"/>
  </si>
  <si>
    <t>灵魂囚禁手杖</t>
    <phoneticPr fontId="1" type="noConversion"/>
  </si>
  <si>
    <t>石化藤条</t>
  </si>
  <si>
    <t>创世权杖</t>
  </si>
  <si>
    <t>奥杜尔</t>
    <phoneticPr fontId="1" type="noConversion"/>
  </si>
  <si>
    <t>+4精神</t>
    <phoneticPr fontId="1" type="noConversion"/>
  </si>
  <si>
    <t>无名巫妖的护符匣(H)</t>
    <phoneticPr fontId="4" type="noConversion"/>
  </si>
  <si>
    <t>Phylactery</t>
  </si>
  <si>
    <t>PhylacteryH</t>
    <phoneticPr fontId="1" type="noConversion"/>
  </si>
  <si>
    <t>27法术强度</t>
  </si>
  <si>
    <t>血红宝石魔杖(H)</t>
  </si>
  <si>
    <t>TwilightScale</t>
  </si>
  <si>
    <t>TwilightScaleH</t>
    <phoneticPr fontId="1" type="noConversion"/>
  </si>
  <si>
    <t>FrostBadgeTrinket</t>
  </si>
  <si>
    <t>战败者的慰藉(H)</t>
    <phoneticPr fontId="1" type="noConversion"/>
  </si>
  <si>
    <t>装备：+18MP5,叠10次</t>
    <phoneticPr fontId="1" type="noConversion"/>
  </si>
  <si>
    <t>HTOC25</t>
    <phoneticPr fontId="1" type="noConversion"/>
  </si>
  <si>
    <t>战败者的慰藉</t>
    <phoneticPr fontId="1" type="noConversion"/>
  </si>
  <si>
    <t>装备：+16MP5,叠10次</t>
    <phoneticPr fontId="1" type="noConversion"/>
  </si>
  <si>
    <t>TOC25</t>
    <phoneticPr fontId="1" type="noConversion"/>
  </si>
  <si>
    <t>深渊符文</t>
    <phoneticPr fontId="1" type="noConversion"/>
  </si>
  <si>
    <t>冠军的试炼</t>
    <phoneticPr fontId="1" type="noConversion"/>
  </si>
  <si>
    <t>AbyssalRune</t>
    <phoneticPr fontId="1" type="noConversion"/>
  </si>
  <si>
    <t>装备：伤害法术触发+590法强 持续10秒</t>
    <phoneticPr fontId="1" type="noConversion"/>
  </si>
  <si>
    <t>永冻冰晶</t>
    <phoneticPr fontId="1" type="noConversion"/>
  </si>
  <si>
    <t>使用：+920暴击，每次暴击-184</t>
    <phoneticPr fontId="1" type="noConversion"/>
  </si>
  <si>
    <t>萨隆矿坑</t>
    <phoneticPr fontId="1" type="noConversion"/>
  </si>
  <si>
    <t>NeverMeltIC</t>
    <phoneticPr fontId="1" type="noConversion"/>
  </si>
  <si>
    <t>死者的统治</t>
    <phoneticPr fontId="1" type="noConversion"/>
  </si>
  <si>
    <t>装备: 爆击时，获得一片烈焰碎片。3片时造成1959到2275点伤害。</t>
    <phoneticPr fontId="1" type="noConversion"/>
  </si>
  <si>
    <t>装备: 爆击时，获得一片烈焰碎片。3片时造成1741到2023点伤害。</t>
    <phoneticPr fontId="1" type="noConversion"/>
  </si>
  <si>
    <t>Reign</t>
    <phoneticPr fontId="1" type="noConversion"/>
  </si>
  <si>
    <t>死者的统治(H)</t>
    <phoneticPr fontId="1" type="noConversion"/>
  </si>
  <si>
    <t>HTOC25</t>
    <phoneticPr fontId="1" type="noConversion"/>
  </si>
  <si>
    <t>ReignH</t>
    <phoneticPr fontId="1" type="noConversion"/>
  </si>
  <si>
    <t>TrollBerserking</t>
    <phoneticPr fontId="1" type="noConversion"/>
  </si>
  <si>
    <t>暗夜精灵</t>
  </si>
  <si>
    <t>战斗大师的毁灭</t>
    <phoneticPr fontId="1" type="noConversion"/>
  </si>
  <si>
    <t>荣誉兑换</t>
    <phoneticPr fontId="1" type="noConversion"/>
  </si>
  <si>
    <t>战斗大师的狂怒</t>
    <phoneticPr fontId="1" type="noConversion"/>
  </si>
  <si>
    <t>战斗大师的活力</t>
    <phoneticPr fontId="1" type="noConversion"/>
  </si>
  <si>
    <t>战斗大师的精确</t>
    <phoneticPr fontId="1" type="noConversion"/>
  </si>
  <si>
    <t>使用：生命值上限提高4608，持续15秒。</t>
    <phoneticPr fontId="1" type="noConversion"/>
  </si>
  <si>
    <t>使用：生命值上限提高4608，持续16秒。</t>
  </si>
  <si>
    <t>使用：生命值上限提高4608，持续17秒。</t>
  </si>
  <si>
    <t>使用：生命值上限提高4608，持续18秒。</t>
  </si>
  <si>
    <t>天堂之焰</t>
  </si>
  <si>
    <t>装备：你的伤害法术有一定几率使你的法术强度提高850点，持续10秒。</t>
    <phoneticPr fontId="1" type="noConversion"/>
  </si>
  <si>
    <t>ULD</t>
    <phoneticPr fontId="1" type="noConversion"/>
  </si>
  <si>
    <t>复苏饰物</t>
  </si>
  <si>
    <t>使用：法术强度提高599点，持续20秒。 2分钟冷却</t>
    <phoneticPr fontId="1" type="noConversion"/>
  </si>
  <si>
    <t>凯旋牌子</t>
    <phoneticPr fontId="1" type="noConversion"/>
  </si>
  <si>
    <t>水晶之心碎片</t>
  </si>
  <si>
    <t>使用：急速等级提高512，持续20秒。 2分钟 冷却</t>
    <phoneticPr fontId="1" type="noConversion"/>
  </si>
  <si>
    <t>命运之鳞</t>
  </si>
  <si>
    <t>使用：使你的急速等级提高432，持续20秒。 (2分钟 冷却)</t>
  </si>
  <si>
    <t>ULD</t>
    <phoneticPr fontId="1" type="noConversion"/>
  </si>
  <si>
    <t>龙母之眼</t>
  </si>
  <si>
    <t>装备：你每次施放伤害或治疗法术，都可以使你的法术强度提高25，持续10秒。可叠加最多5次。</t>
    <phoneticPr fontId="1" type="noConversion"/>
  </si>
  <si>
    <t>关闭</t>
  </si>
  <si>
    <t>TriumphBadgeTrinket</t>
  </si>
  <si>
    <t>TriumphBadgeTrinket2</t>
  </si>
  <si>
    <t>ScaleofFates</t>
  </si>
  <si>
    <t>Broodmother</t>
  </si>
  <si>
    <t>FlareHeaven</t>
  </si>
  <si>
    <t>暴怒角斗士的缓刑</t>
  </si>
  <si>
    <t>暴怒角斗士的纲要宝典</t>
    <phoneticPr fontId="1" type="noConversion"/>
  </si>
  <si>
    <t>JJC</t>
    <phoneticPr fontId="1" type="noConversion"/>
  </si>
  <si>
    <t>暴怒角斗士的决战</t>
    <phoneticPr fontId="1" type="noConversion"/>
  </si>
  <si>
    <t>JJC</t>
    <phoneticPr fontId="1" type="noConversion"/>
  </si>
  <si>
    <t>侵越之印(H)</t>
    <phoneticPr fontId="1" type="noConversion"/>
  </si>
  <si>
    <t>HTOC25</t>
    <phoneticPr fontId="1" type="noConversion"/>
  </si>
  <si>
    <t>炽光圣杯(H)</t>
    <phoneticPr fontId="1" type="noConversion"/>
  </si>
  <si>
    <t>HTOC25</t>
    <phoneticPr fontId="1" type="noConversion"/>
  </si>
  <si>
    <t>侵越之印</t>
    <phoneticPr fontId="1" type="noConversion"/>
  </si>
  <si>
    <t>TOC25</t>
    <phoneticPr fontId="1" type="noConversion"/>
  </si>
  <si>
    <t>炽光圣杯</t>
    <phoneticPr fontId="1" type="noConversion"/>
  </si>
  <si>
    <t>TOC25</t>
    <phoneticPr fontId="1" type="noConversion"/>
  </si>
  <si>
    <t>降福圣杯(H)</t>
    <phoneticPr fontId="1" type="noConversion"/>
  </si>
  <si>
    <t>+5法强</t>
    <phoneticPr fontId="1" type="noConversion"/>
  </si>
  <si>
    <t>HTOC10</t>
    <phoneticPr fontId="1" type="noConversion"/>
  </si>
  <si>
    <t>远古角石魔典</t>
  </si>
  <si>
    <t>奥妮克希亚</t>
    <phoneticPr fontId="1" type="noConversion"/>
  </si>
  <si>
    <t>枯萎之心</t>
  </si>
  <si>
    <t>倒影大厅</t>
    <phoneticPr fontId="1" type="noConversion"/>
  </si>
  <si>
    <t>暴怒角斗士的统御指环</t>
  </si>
  <si>
    <t>荣誉兑换</t>
    <phoneticPr fontId="1" type="noConversion"/>
  </si>
  <si>
    <t>恶行指环(H)</t>
    <phoneticPr fontId="1" type="noConversion"/>
  </si>
  <si>
    <t>黑暗治愈者之戒(H)</t>
    <phoneticPr fontId="1" type="noConversion"/>
  </si>
  <si>
    <t>+5法强</t>
    <phoneticPr fontId="1" type="noConversion"/>
  </si>
  <si>
    <t>肯瑞托符文戒指</t>
  </si>
  <si>
    <t>商人</t>
    <phoneticPr fontId="1" type="noConversion"/>
  </si>
  <si>
    <t>肯瑞托符文徽记</t>
    <phoneticPr fontId="1" type="noConversion"/>
  </si>
  <si>
    <t>火焰风暴之戒</t>
  </si>
  <si>
    <t>黑暗治愈者之戒</t>
    <phoneticPr fontId="1" type="noConversion"/>
  </si>
  <si>
    <t>TOC25</t>
    <phoneticPr fontId="1" type="noConversion"/>
  </si>
  <si>
    <t>恶行指环</t>
    <phoneticPr fontId="1" type="noConversion"/>
  </si>
  <si>
    <t>抛光的屠龙者的徽记</t>
  </si>
  <si>
    <t>奥妮克希亚</t>
    <phoneticPr fontId="1" type="noConversion"/>
  </si>
  <si>
    <t>愈心者指环</t>
    <phoneticPr fontId="1" type="noConversion"/>
  </si>
  <si>
    <t>凯旋牌子</t>
    <phoneticPr fontId="1" type="noConversion"/>
  </si>
  <si>
    <t>唤魔者指环</t>
    <phoneticPr fontId="1" type="noConversion"/>
  </si>
  <si>
    <t>+7法强</t>
    <phoneticPr fontId="1" type="noConversion"/>
  </si>
  <si>
    <t>HTOC25</t>
    <phoneticPr fontId="1" type="noConversion"/>
  </si>
  <si>
    <t>浮冰软鞋(H)</t>
    <phoneticPr fontId="1" type="noConversion"/>
  </si>
  <si>
    <t>暴怒角斗士的活跃便鞋</t>
  </si>
  <si>
    <t>+4韧性</t>
    <phoneticPr fontId="1" type="noConversion"/>
  </si>
  <si>
    <t>JJC</t>
    <phoneticPr fontId="1" type="noConversion"/>
  </si>
  <si>
    <t>银色大法师便鞋(H)</t>
    <phoneticPr fontId="1" type="noConversion"/>
  </si>
  <si>
    <t>+6暴击</t>
    <phoneticPr fontId="1" type="noConversion"/>
  </si>
  <si>
    <t>哀魂长靴</t>
    <phoneticPr fontId="1" type="noConversion"/>
  </si>
  <si>
    <t>+4智力</t>
    <phoneticPr fontId="1" type="noConversion"/>
  </si>
  <si>
    <t>HTOC10</t>
    <phoneticPr fontId="1" type="noConversion"/>
  </si>
  <si>
    <t>孀妇长靴</t>
    <phoneticPr fontId="1" type="noConversion"/>
  </si>
  <si>
    <t>浮冰软鞋</t>
    <phoneticPr fontId="1" type="noConversion"/>
  </si>
  <si>
    <t>+5法强</t>
    <phoneticPr fontId="1" type="noConversion"/>
  </si>
  <si>
    <t>TOC25</t>
    <phoneticPr fontId="1" type="noConversion"/>
  </si>
  <si>
    <t>暴怒角斗士的绸缎护腿</t>
  </si>
  <si>
    <t>+7法强</t>
    <phoneticPr fontId="1" type="noConversion"/>
  </si>
  <si>
    <t>暴怒角斗士的月布护腿</t>
  </si>
  <si>
    <t>维伦的凯旋长裤(H)</t>
    <phoneticPr fontId="1" type="noConversion"/>
  </si>
  <si>
    <t>兑换</t>
    <phoneticPr fontId="1" type="noConversion"/>
  </si>
  <si>
    <t>+9法强</t>
    <phoneticPr fontId="1" type="noConversion"/>
  </si>
  <si>
    <t>宽抚护腿(H)</t>
    <phoneticPr fontId="1" type="noConversion"/>
  </si>
  <si>
    <t>深空护腿(H)</t>
    <phoneticPr fontId="1" type="noConversion"/>
  </si>
  <si>
    <t>+9法强</t>
    <phoneticPr fontId="1" type="noConversion"/>
  </si>
  <si>
    <t>维伦的凯旋长裤</t>
    <phoneticPr fontId="1" type="noConversion"/>
  </si>
  <si>
    <t>恶魔信使护腿(H)</t>
    <phoneticPr fontId="1" type="noConversion"/>
  </si>
  <si>
    <t>+6精神</t>
    <phoneticPr fontId="1" type="noConversion"/>
  </si>
  <si>
    <t>宽抚护腿</t>
    <phoneticPr fontId="1" type="noConversion"/>
  </si>
  <si>
    <t>深空护腿</t>
    <phoneticPr fontId="1" type="noConversion"/>
  </si>
  <si>
    <t>+7法强</t>
    <phoneticPr fontId="1" type="noConversion"/>
  </si>
  <si>
    <t>TOC25</t>
    <phoneticPr fontId="1" type="noConversion"/>
  </si>
  <si>
    <t>凛冬束带(H)</t>
    <phoneticPr fontId="1" type="noConversion"/>
  </si>
  <si>
    <t>黑雾束带(H)</t>
    <phoneticPr fontId="1" type="noConversion"/>
  </si>
  <si>
    <t>凛冬束带</t>
    <phoneticPr fontId="1" type="noConversion"/>
  </si>
  <si>
    <t>黑雾束带</t>
    <phoneticPr fontId="1" type="noConversion"/>
  </si>
  <si>
    <t>暴怒角斗士的活跃裹腰</t>
  </si>
  <si>
    <t>+5法强</t>
    <phoneticPr fontId="1" type="noConversion"/>
  </si>
  <si>
    <t>荣誉兑换</t>
    <phoneticPr fontId="1" type="noConversion"/>
  </si>
  <si>
    <t>冰吼腰带(H)</t>
    <phoneticPr fontId="1" type="noConversion"/>
  </si>
  <si>
    <t>+6急速</t>
    <phoneticPr fontId="1" type="noConversion"/>
  </si>
  <si>
    <t>永恒束带(H)</t>
    <phoneticPr fontId="1" type="noConversion"/>
  </si>
  <si>
    <t>暴怒角斗士的绸缎手套</t>
  </si>
  <si>
    <t>+5法强</t>
    <phoneticPr fontId="1" type="noConversion"/>
  </si>
  <si>
    <t>暴怒角斗士的月布手套</t>
  </si>
  <si>
    <t>维伦的凯旋裹手(H)</t>
    <phoneticPr fontId="1" type="noConversion"/>
  </si>
  <si>
    <t>兑换</t>
    <phoneticPr fontId="1" type="noConversion"/>
  </si>
  <si>
    <t>亡者之触手套(H)</t>
    <phoneticPr fontId="1" type="noConversion"/>
  </si>
  <si>
    <t>HTOC25</t>
    <phoneticPr fontId="1" type="noConversion"/>
  </si>
  <si>
    <t>幽影手套(H)</t>
    <phoneticPr fontId="1" type="noConversion"/>
  </si>
  <si>
    <t>+6急速</t>
    <phoneticPr fontId="1" type="noConversion"/>
  </si>
  <si>
    <t>HTOC10</t>
    <phoneticPr fontId="1" type="noConversion"/>
  </si>
  <si>
    <t>维伦的凯旋裹手</t>
    <phoneticPr fontId="1" type="noConversion"/>
  </si>
  <si>
    <t>亡者之触手套</t>
    <phoneticPr fontId="1" type="noConversion"/>
  </si>
  <si>
    <t>黑暗精粹护腕</t>
  </si>
  <si>
    <t>黑暗精粹护腕(H)</t>
    <phoneticPr fontId="1" type="noConversion"/>
  </si>
  <si>
    <t>苍白圣徒腕甲</t>
  </si>
  <si>
    <t>苍白圣徒腕甲(H)</t>
    <phoneticPr fontId="1" type="noConversion"/>
  </si>
  <si>
    <t>暴怒角斗士的活跃护腕</t>
  </si>
  <si>
    <t>荣誉兑换</t>
    <phoneticPr fontId="1" type="noConversion"/>
  </si>
  <si>
    <t>邪火束腕(H)</t>
    <phoneticPr fontId="1" type="noConversion"/>
  </si>
  <si>
    <t>+4暴击</t>
    <phoneticPr fontId="1" type="noConversion"/>
  </si>
  <si>
    <t>巫师的珠玉护腕</t>
  </si>
  <si>
    <t>裁缝制作</t>
    <phoneticPr fontId="1" type="noConversion"/>
  </si>
  <si>
    <t>暴怒角斗士的绸缎长袍</t>
  </si>
  <si>
    <t>暴怒角斗士的月布长袍</t>
  </si>
  <si>
    <t>+9耐力</t>
    <phoneticPr fontId="1" type="noConversion"/>
  </si>
  <si>
    <t>织天者法袍</t>
  </si>
  <si>
    <t>织天者法袍(H)</t>
    <phoneticPr fontId="1" type="noConversion"/>
  </si>
  <si>
    <t>晋升罗衣</t>
  </si>
  <si>
    <t>晋升罗衣(H)</t>
    <phoneticPr fontId="1" type="noConversion"/>
  </si>
  <si>
    <t>HTOC25</t>
    <phoneticPr fontId="1" type="noConversion"/>
  </si>
  <si>
    <t>无眠外衣(H)</t>
    <phoneticPr fontId="1" type="noConversion"/>
  </si>
  <si>
    <t>维伦的凯旋法衣</t>
  </si>
  <si>
    <t>维伦的凯旋法衣(H)</t>
    <phoneticPr fontId="1" type="noConversion"/>
  </si>
  <si>
    <t>梅林法袍</t>
  </si>
  <si>
    <t>裁缝制作</t>
    <phoneticPr fontId="1" type="noConversion"/>
  </si>
  <si>
    <t>皇家月幕长袍</t>
  </si>
  <si>
    <t>吉安娜的光辉(H)</t>
    <phoneticPr fontId="1" type="noConversion"/>
  </si>
  <si>
    <t>HTOC25-50箱</t>
    <phoneticPr fontId="1" type="noConversion"/>
  </si>
  <si>
    <t>伯瓦尔的虔诚</t>
  </si>
  <si>
    <t>偏移披风(H)</t>
    <phoneticPr fontId="1" type="noConversion"/>
  </si>
  <si>
    <t>HTOC25</t>
    <phoneticPr fontId="1" type="noConversion"/>
  </si>
  <si>
    <t>清风披风(H)</t>
    <phoneticPr fontId="1" type="noConversion"/>
  </si>
  <si>
    <t>少女的宠爱(H)</t>
    <phoneticPr fontId="1" type="noConversion"/>
  </si>
  <si>
    <t>苦咒斗篷(H)</t>
    <phoneticPr fontId="1" type="noConversion"/>
  </si>
  <si>
    <t>HTOC10-50箱</t>
    <phoneticPr fontId="1" type="noConversion"/>
  </si>
  <si>
    <t>狂热十字军披风(H)</t>
    <phoneticPr fontId="1" type="noConversion"/>
  </si>
  <si>
    <t>偏移披风</t>
    <phoneticPr fontId="1" type="noConversion"/>
  </si>
  <si>
    <t>清风披风</t>
    <phoneticPr fontId="1" type="noConversion"/>
  </si>
  <si>
    <t>少女的宠爱</t>
    <phoneticPr fontId="1" type="noConversion"/>
  </si>
  <si>
    <t>轻盈的萨菲隆斗篷</t>
  </si>
  <si>
    <t>奥妮克希亚</t>
    <phoneticPr fontId="1" type="noConversion"/>
  </si>
  <si>
    <t>暴怒角斗士的镇压披风</t>
  </si>
  <si>
    <t>暴怒角斗士的统御披风</t>
  </si>
  <si>
    <t>暴怒角斗士的支配披风</t>
  </si>
  <si>
    <t>暴怒角斗士的解救披风</t>
  </si>
  <si>
    <t>暴怒角斗士的绸缎衬肩</t>
  </si>
  <si>
    <t>暴怒角斗士的月布衬肩</t>
  </si>
  <si>
    <t>+6耐力</t>
    <phoneticPr fontId="1" type="noConversion"/>
  </si>
  <si>
    <t>JJC</t>
    <phoneticPr fontId="1" type="noConversion"/>
  </si>
  <si>
    <t>维伦的凯旋衬肩</t>
  </si>
  <si>
    <t>维伦的凯旋衬肩(H)</t>
    <phoneticPr fontId="1" type="noConversion"/>
  </si>
  <si>
    <t>+5法强</t>
    <phoneticPr fontId="1" type="noConversion"/>
  </si>
  <si>
    <t>兑换</t>
    <phoneticPr fontId="1" type="noConversion"/>
  </si>
  <si>
    <t>人性敬畏衬肩</t>
  </si>
  <si>
    <t>凯旋牌子</t>
    <phoneticPr fontId="1" type="noConversion"/>
  </si>
  <si>
    <t>灾降护肩</t>
  </si>
  <si>
    <t>暴怒角斗士的拯救坠饰</t>
  </si>
  <si>
    <t>暴怒角斗士的支配坠饰</t>
  </si>
  <si>
    <t>暴怒角斗士的镇压坠饰</t>
  </si>
  <si>
    <t>暴怒角斗士的统御坠饰</t>
  </si>
  <si>
    <t>荣誉兑换</t>
    <phoneticPr fontId="1" type="noConversion"/>
  </si>
  <si>
    <t>瓦格里的嚎哭</t>
  </si>
  <si>
    <t>瓦格里的嚎哭(H)</t>
    <phoneticPr fontId="1" type="noConversion"/>
  </si>
  <si>
    <t>HTOC25</t>
    <phoneticPr fontId="1" type="noConversion"/>
  </si>
  <si>
    <t>TOC25</t>
    <phoneticPr fontId="1" type="noConversion"/>
  </si>
  <si>
    <t>黑暗死亡坠饰(H)</t>
    <phoneticPr fontId="1" type="noConversion"/>
  </si>
  <si>
    <t>+4智力</t>
    <phoneticPr fontId="1" type="noConversion"/>
  </si>
  <si>
    <t>HTOC10</t>
    <phoneticPr fontId="1" type="noConversion"/>
  </si>
  <si>
    <t>元素禁锢护符(H)</t>
    <phoneticPr fontId="1" type="noConversion"/>
  </si>
  <si>
    <t>暴怒角斗士的绸缎软帽</t>
  </si>
  <si>
    <t>暴怒角斗士的月布软帽</t>
  </si>
  <si>
    <t>+8韧性</t>
    <phoneticPr fontId="1" type="noConversion"/>
  </si>
  <si>
    <t>维伦的凯旋头环</t>
  </si>
  <si>
    <t>维伦的凯旋头环(H)</t>
    <phoneticPr fontId="1" type="noConversion"/>
  </si>
  <si>
    <t>卓越发环</t>
  </si>
  <si>
    <t>奥妮克希亚</t>
    <phoneticPr fontId="1" type="noConversion"/>
  </si>
  <si>
    <t>卓越头环</t>
  </si>
  <si>
    <t>+8精神</t>
    <phoneticPr fontId="1" type="noConversion"/>
  </si>
  <si>
    <t>云晕兜帽</t>
  </si>
  <si>
    <t>凯旋牌子</t>
    <phoneticPr fontId="1" type="noConversion"/>
  </si>
  <si>
    <t>炽热复仇罩帽</t>
  </si>
  <si>
    <t>ver 0.3 r8</t>
    <phoneticPr fontId="1" type="noConversion"/>
  </si>
  <si>
    <t>即时计算</t>
    <phoneticPr fontId="1" type="noConversion"/>
  </si>
  <si>
    <t>Devoring Plague</t>
    <phoneticPr fontId="1" type="noConversion"/>
  </si>
  <si>
    <t>Mind Blast</t>
    <phoneticPr fontId="1" type="noConversion"/>
  </si>
  <si>
    <t>Mind Flay</t>
    <phoneticPr fontId="1" type="noConversion"/>
  </si>
  <si>
    <t>Shadow Word: Pain</t>
    <phoneticPr fontId="1" type="noConversion"/>
  </si>
  <si>
    <t>Vampiric Touch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</si>
</sst>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000_ "/>
  </numFmts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微软雅黑"/>
      <family val="2"/>
      <charset val="134"/>
    </font>
    <font>
      <sz val="9"/>
      <name val="宋体"/>
      <family val="3"/>
      <charset val="134"/>
    </font>
    <font>
      <b/>
      <sz val="11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1"/>
      <color rgb="FFC00000"/>
      <name val="宋体"/>
      <family val="2"/>
      <charset val="134"/>
      <scheme val="minor"/>
    </font>
    <font>
      <b/>
      <sz val="11"/>
      <color rgb="FFC00000"/>
      <name val="宋体"/>
      <family val="3"/>
      <charset val="134"/>
      <scheme val="minor"/>
    </font>
    <font>
      <b/>
      <sz val="11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2"/>
      <charset val="134"/>
      <scheme val="minor"/>
    </font>
    <font>
      <b/>
      <sz val="9"/>
      <color theme="4" tint="-0.249977111117893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4" tint="-0.249977111117893"/>
      <name val="宋体"/>
      <family val="3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theme="3" tint="0.39994506668294322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20" fillId="0" borderId="0">
      <alignment vertical="center"/>
    </xf>
  </cellStyleXfs>
  <cellXfs count="72">
    <xf numFmtId="0" fontId="0" fillId="0" borderId="0" xfId="0">
      <alignment vertical="center"/>
    </xf>
    <xf numFmtId="49" fontId="3" fillId="0" borderId="0" xfId="1" applyNumberFormat="1" applyFont="1" applyFill="1" applyBorder="1" applyAlignment="1">
      <alignment horizontal="center" vertical="center" shrinkToFit="1"/>
    </xf>
    <xf numFmtId="0" fontId="3" fillId="0" borderId="0" xfId="1" applyNumberFormat="1" applyFont="1" applyFill="1" applyBorder="1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vertical="center"/>
    </xf>
    <xf numFmtId="0" fontId="3" fillId="0" borderId="0" xfId="1" quotePrefix="1" applyFont="1" applyFill="1" applyBorder="1" applyAlignment="1">
      <alignment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0" xfId="1" quotePrefix="1" applyFont="1" applyFill="1" applyBorder="1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 wrapText="1" shrinkToFit="1"/>
    </xf>
    <xf numFmtId="49" fontId="5" fillId="2" borderId="1" xfId="1" applyNumberFormat="1" applyFont="1" applyFill="1" applyBorder="1" applyAlignment="1">
      <alignment horizontal="center" vertical="center" shrinkToFit="1"/>
    </xf>
    <xf numFmtId="0" fontId="5" fillId="2" borderId="2" xfId="1" applyNumberFormat="1" applyFont="1" applyFill="1" applyBorder="1" applyAlignment="1">
      <alignment horizontal="center" vertical="center"/>
    </xf>
    <xf numFmtId="0" fontId="3" fillId="0" borderId="0" xfId="1" applyNumberFormat="1" applyFont="1" applyFill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0" borderId="0" xfId="0" quotePrefix="1">
      <alignment vertical="center"/>
    </xf>
    <xf numFmtId="0" fontId="7" fillId="0" borderId="0" xfId="0" applyFont="1" applyFill="1">
      <alignment vertical="center"/>
    </xf>
    <xf numFmtId="0" fontId="5" fillId="2" borderId="3" xfId="1" applyNumberFormat="1" applyFont="1" applyFill="1" applyBorder="1" applyAlignment="1">
      <alignment horizontal="center" vertical="center"/>
    </xf>
    <xf numFmtId="0" fontId="8" fillId="0" borderId="0" xfId="0" quotePrefix="1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49" fontId="5" fillId="2" borderId="1" xfId="1" applyNumberFormat="1" applyFont="1" applyFill="1" applyBorder="1" applyAlignment="1">
      <alignment horizontal="center" vertical="center"/>
    </xf>
    <xf numFmtId="0" fontId="5" fillId="2" borderId="4" xfId="1" applyNumberFormat="1" applyFont="1" applyFill="1" applyBorder="1" applyAlignment="1">
      <alignment horizontal="center" vertical="center"/>
    </xf>
    <xf numFmtId="0" fontId="5" fillId="2" borderId="0" xfId="1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14" fillId="0" borderId="0" xfId="0" applyNumberFormat="1" applyFont="1" applyAlignment="1">
      <alignment horizontal="right" vertical="center"/>
    </xf>
    <xf numFmtId="176" fontId="12" fillId="0" borderId="0" xfId="0" applyNumberFormat="1" applyFont="1" applyAlignment="1">
      <alignment horizontal="right" vertical="center"/>
    </xf>
    <xf numFmtId="177" fontId="12" fillId="0" borderId="0" xfId="0" applyNumberFormat="1" applyFont="1" applyAlignment="1">
      <alignment horizontal="right" vertical="center"/>
    </xf>
    <xf numFmtId="0" fontId="15" fillId="0" borderId="5" xfId="0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right" vertical="center"/>
    </xf>
    <xf numFmtId="177" fontId="13" fillId="0" borderId="0" xfId="0" applyNumberFormat="1" applyFont="1" applyAlignment="1">
      <alignment horizontal="right" vertical="center"/>
    </xf>
    <xf numFmtId="0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6" fontId="15" fillId="0" borderId="5" xfId="0" applyNumberFormat="1" applyFont="1" applyBorder="1" applyAlignment="1">
      <alignment vertical="center"/>
    </xf>
    <xf numFmtId="176" fontId="15" fillId="3" borderId="5" xfId="0" applyNumberFormat="1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10" fontId="12" fillId="0" borderId="0" xfId="0" applyNumberFormat="1" applyFont="1" applyAlignment="1">
      <alignment horizontal="right" vertical="center"/>
    </xf>
    <xf numFmtId="0" fontId="12" fillId="0" borderId="0" xfId="0" quotePrefix="1" applyFont="1" applyAlignment="1">
      <alignment horizontal="center" vertical="center"/>
    </xf>
    <xf numFmtId="0" fontId="12" fillId="0" borderId="0" xfId="0" quotePrefix="1" applyNumberFormat="1" applyFont="1" applyAlignment="1">
      <alignment horizontal="center" vertical="center"/>
    </xf>
    <xf numFmtId="176" fontId="16" fillId="0" borderId="5" xfId="0" applyNumberFormat="1" applyFont="1" applyBorder="1" applyAlignment="1">
      <alignment horizontal="right" vertical="center"/>
    </xf>
    <xf numFmtId="176" fontId="17" fillId="0" borderId="5" xfId="0" applyNumberFormat="1" applyFont="1" applyBorder="1" applyAlignment="1">
      <alignment horizontal="right" vertical="center"/>
    </xf>
    <xf numFmtId="10" fontId="15" fillId="3" borderId="5" xfId="2" applyNumberFormat="1" applyFont="1" applyFill="1" applyBorder="1" applyAlignment="1">
      <alignment horizontal="right" vertical="center"/>
    </xf>
    <xf numFmtId="0" fontId="0" fillId="4" borderId="3" xfId="0" applyFont="1" applyFill="1" applyBorder="1">
      <alignment vertical="center"/>
    </xf>
    <xf numFmtId="0" fontId="0" fillId="4" borderId="6" xfId="0" applyFont="1" applyFill="1" applyBorder="1">
      <alignment vertical="center"/>
    </xf>
    <xf numFmtId="0" fontId="0" fillId="0" borderId="3" xfId="0" applyFont="1" applyBorder="1">
      <alignment vertical="center"/>
    </xf>
    <xf numFmtId="0" fontId="0" fillId="0" borderId="6" xfId="0" applyFont="1" applyBorder="1">
      <alignment vertical="center"/>
    </xf>
    <xf numFmtId="49" fontId="5" fillId="2" borderId="3" xfId="1" applyNumberFormat="1" applyFont="1" applyFill="1" applyBorder="1" applyAlignment="1">
      <alignment horizontal="center" vertical="center" shrinkToFit="1"/>
    </xf>
    <xf numFmtId="49" fontId="3" fillId="4" borderId="3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0" fontId="5" fillId="2" borderId="6" xfId="1" applyNumberFormat="1" applyFont="1" applyFill="1" applyBorder="1" applyAlignment="1">
      <alignment horizontal="center" vertical="center"/>
    </xf>
    <xf numFmtId="0" fontId="5" fillId="2" borderId="0" xfId="1" applyNumberFormat="1" applyFont="1" applyFill="1" applyBorder="1" applyAlignment="1">
      <alignment horizontal="center" vertical="center"/>
    </xf>
    <xf numFmtId="9" fontId="0" fillId="0" borderId="0" xfId="0" quotePrefix="1" applyNumberFormat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1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8" fillId="0" borderId="0" xfId="0" applyFont="1">
      <alignment vertical="center"/>
    </xf>
    <xf numFmtId="0" fontId="18" fillId="0" borderId="0" xfId="0" applyFont="1">
      <alignment vertical="center"/>
    </xf>
    <xf numFmtId="49" fontId="18" fillId="0" borderId="0" xfId="0" applyNumberFormat="1" applyFont="1">
      <alignment vertical="center"/>
    </xf>
    <xf numFmtId="0" fontId="0" fillId="0" borderId="0" xfId="0" applyNumberFormat="1">
      <alignment vertical="center"/>
    </xf>
    <xf numFmtId="49" fontId="3" fillId="0" borderId="0" xfId="1" applyNumberFormat="1" applyFont="1" applyFill="1" applyAlignment="1">
      <alignment horizontal="center" vertical="center" shrinkToFit="1"/>
    </xf>
    <xf numFmtId="49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vertical="center"/>
    </xf>
    <xf numFmtId="0" fontId="10" fillId="0" borderId="0" xfId="0" applyNumberFormat="1" applyFont="1" applyFill="1" applyBorder="1">
      <alignment vertical="center"/>
    </xf>
    <xf numFmtId="0" fontId="9" fillId="0" borderId="0" xfId="0" applyNumberFormat="1" applyFont="1" applyFill="1" applyBorder="1">
      <alignment vertical="center"/>
    </xf>
    <xf numFmtId="0" fontId="7" fillId="0" borderId="0" xfId="0" applyNumberFormat="1" applyFont="1" applyFill="1" applyBorder="1">
      <alignment vertical="center"/>
    </xf>
    <xf numFmtId="0" fontId="0" fillId="0" borderId="0" xfId="0" applyNumberFormat="1" applyFill="1" applyBorder="1">
      <alignment vertical="center"/>
    </xf>
    <xf numFmtId="49" fontId="3" fillId="0" borderId="7" xfId="1" applyNumberFormat="1" applyFont="1" applyFill="1" applyBorder="1" applyAlignment="1">
      <alignment horizontal="center" vertical="center"/>
    </xf>
    <xf numFmtId="0" fontId="10" fillId="0" borderId="0" xfId="0" applyNumberFormat="1" applyFont="1" applyFill="1">
      <alignment vertical="center"/>
    </xf>
    <xf numFmtId="0" fontId="0" fillId="0" borderId="0" xfId="0" applyNumberFormat="1" applyFill="1">
      <alignment vertical="center"/>
    </xf>
  </cellXfs>
  <cellStyles count="4">
    <cellStyle name="百分比" xfId="2" builtinId="5"/>
    <cellStyle name="常规" xfId="0" builtinId="0"/>
    <cellStyle name="常规 2" xfId="1"/>
    <cellStyle name="常规 2 2" xfId="3"/>
  </cellStyles>
  <dxfs count="4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numFmt numFmtId="176" formatCode="0.0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176" formatCode="0.00_ "/>
    </dxf>
    <dxf>
      <numFmt numFmtId="14" formatCode="0.00%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宋体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37</xdr:row>
          <xdr:rowOff>95250</xdr:rowOff>
        </xdr:from>
        <xdr:to>
          <xdr:col>12</xdr:col>
          <xdr:colOff>876300</xdr:colOff>
          <xdr:row>40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DPS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人物属性设置" displayName="人物属性设置" ref="B2:O26" totalsRowShown="0">
  <autoFilter ref="B2:O26"/>
  <tableColumns count="14">
    <tableColumn id="1" name="部位"/>
    <tableColumn id="2" name="名称"/>
    <tableColumn id="3" name="智力" dataDxfId="471"/>
    <tableColumn id="4" name="精神"/>
    <tableColumn id="5" name="法强"/>
    <tableColumn id="6" name="急速"/>
    <tableColumn id="7" name="暴击"/>
    <tableColumn id="8" name="命中"/>
    <tableColumn id="15" name="插槽" dataDxfId="470"/>
    <tableColumn id="9" name="石头1"/>
    <tableColumn id="10" name="石头2"/>
    <tableColumn id="11" name="石头3"/>
    <tableColumn id="12" name="附魔" dataDxfId="469"/>
    <tableColumn id="13" name="插槽奖励" dataDxfId="468">
      <calculatedColumnFormula>GemAward(VLOOKUP(人物属性设置[[#This Row],[名称]],头部[#All],11,FALSE),VLOOKUP(人物属性设置[[#This Row],[名称]],头部[#All],12,FALSE),VLOOKUP(人物属性设置[[#This Row],[名称]],头部[#All],13,FALSE),VLOOKUP(人物属性设置[[#This Row],[石头1]],石头[#All],2,FALSE),VLOOKUP(人物属性设置[[#This Row],[石头2]],石头[#All],2,FALSE),VLOOKUP(人物属性设置[[#This Row],[石头3]],石头[#All],2,FALSE))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9" name="伤害表" displayName="伤害表" ref="B31:I41" totalsRowShown="0">
  <autoFilter ref="B31:I41"/>
  <tableColumns count="8">
    <tableColumn id="1" name="序号" dataDxfId="467"/>
    <tableColumn id="2" name="伤害名称"/>
    <tableColumn id="3" name="总伤害" dataDxfId="466">
      <calculatedColumnFormula>SUM(D21:D31)</calculatedColumnFormula>
    </tableColumn>
    <tableColumn id="4" name="次数"/>
    <tableColumn id="5" name="暴击数"/>
    <tableColumn id="6" name="暴击率" dataDxfId="465">
      <calculatedColumnFormula>IF(伤害表[[#This Row],[暴击数]],伤害表[[#This Row],[暴击数]]/伤害表[[#This Row],[次数]],"")</calculatedColumnFormula>
    </tableColumn>
    <tableColumn id="7" name="DPS" dataDxfId="464">
      <calculatedColumnFormula>IF(伤害表[[#This Row],[总伤害]],伤害表[[#This Row],[总伤害]]/L$32,"")</calculatedColumnFormula>
    </tableColumn>
    <tableColumn id="8" name="百分比" dataDxfId="463">
      <calculatedColumnFormula>伤害表[[#This Row],[总伤害]]/D$41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8" name="设置" displayName="设置" ref="K31:M36" totalsRowShown="0">
  <autoFilter ref="K31:M36"/>
  <tableColumns count="3">
    <tableColumn id="1" name="项目" dataDxfId="462"/>
    <tableColumn id="2" name="设置" dataDxfId="461"/>
    <tableColumn id="3" name="单位" dataDxfId="46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8" name="属性表" displayName="属性表" ref="A1:D7" headerRowDxfId="459" dataDxfId="458">
  <autoFilter ref="A1:D7"/>
  <tableColumns count="4">
    <tableColumn id="1" name="属性" totalsRowLabel="汇总" dataDxfId="457" totalsRowDxfId="456"/>
    <tableColumn id="2" name="数值" dataDxfId="455" totalsRowDxfId="454"/>
    <tableColumn id="3" name="效用" dataDxfId="453" totalsRowDxfId="452"/>
    <tableColumn id="4" name="PP" totalsRowFunction="sum" dataDxfId="451" totalsRowDxfId="450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29" name="套装效果表" displayName="套装效果表" ref="A10:C12" headerRowDxfId="449" dataDxfId="448">
  <autoFilter ref="A10:C12"/>
  <tableColumns count="3">
    <tableColumn id="1" name="套装效果" totalsRowLabel="汇总" dataDxfId="447" totalsRowDxfId="446"/>
    <tableColumn id="2" name="件数" dataDxfId="445" totalsRowDxfId="444"/>
    <tableColumn id="3" name="PP" totalsRowFunction="sum" dataDxfId="443" totalsRowDxfId="442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30" name="专业修正表" displayName="专业修正表" ref="F10:H12" headerRowDxfId="441">
  <autoFilter ref="F10:H12"/>
  <tableColumns count="3">
    <tableColumn id="1" name="专业" totalsRowLabel="汇总" totalsRowDxfId="440"/>
    <tableColumn id="2" name="有/无" totalsRowDxfId="439"/>
    <tableColumn id="3" name="PP" totalsRowFunction="sum" totalsRowDxfId="438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31" name="天赋表" displayName="天赋表" ref="G15:H16" headerRowDxfId="437">
  <autoFilter ref="G15:H16"/>
  <tableColumns count="2">
    <tableColumn id="1" name="天赋" totalsRowLabel="汇总" dataDxfId="436" totalsRowDxfId="435"/>
    <tableColumn id="2" name="点数" totalsRowFunction="count" dataDxfId="434" totalsRowDxfId="433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32" name="技能表" displayName="技能表" ref="F1:I8" totalsRowShown="0" headerRowDxfId="432" dataDxfId="431">
  <autoFilter ref="F1:I8"/>
  <tableColumns count="4">
    <tableColumn id="1" name="技能" dataDxfId="430"/>
    <tableColumn id="2" name="CD" dataDxfId="429">
      <calculatedColumnFormula>1.5/(1+$B$5/3279)</calculatedColumnFormula>
    </tableColumn>
    <tableColumn id="3" name="延迟" dataDxfId="428">
      <calculatedColumnFormula>技能表[[#This Row],[CD]]+$B$34/1000</calculatedColumnFormula>
    </tableColumn>
    <tableColumn id="4" name="每跳时间" dataDxfId="427">
      <calculatedColumnFormula>技能表[[#This Row],[CD]]*2</calculatedColumnFormula>
    </tableColumn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33" name="其他技能表" displayName="其他技能表" ref="G18:H21" totalsRowShown="0" headerRowDxfId="426">
  <autoFilter ref="G18:H21"/>
  <tableColumns count="2">
    <tableColumn id="1" name="其他技能" dataDxfId="425"/>
    <tableColumn id="2" name="次数" dataDxfId="424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34" name="起手顺序表" displayName="起手顺序表" ref="A15:E22" totalsRowShown="0">
  <autoFilter ref="A15:E22"/>
  <tableColumns count="5">
    <tableColumn id="1" name="序号" dataDxfId="423"/>
    <tableColumn id="2" name="目标" dataDxfId="422"/>
    <tableColumn id="3" name="起手顺序" dataDxfId="421"/>
    <tableColumn id="4" name="耗时" dataDxfId="420">
      <calculatedColumnFormula>IF(起手顺序表[[#This Row],[起手顺序]]="",0,VLOOKUP(起手顺序表[[#This Row],[起手顺序]],技能表[],3,FALSE))</calculatedColumnFormula>
    </tableColumn>
    <tableColumn id="5" name="累计" dataDxfId="419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35" name="单目标测评表" displayName="单目标测评表" ref="A25:H33" totalsRowShown="0" headerRowDxfId="418" dataDxfId="417">
  <autoFilter ref="A25:H33"/>
  <tableColumns count="8">
    <tableColumn id="1" name="序号" dataDxfId="416"/>
    <tableColumn id="2" name="技能" dataDxfId="415"/>
    <tableColumn id="3" name="实际次数" dataDxfId="414"/>
    <tableColumn id="4" name="理论次数" dataDxfId="413"/>
    <tableColumn id="5" name="比率" dataDxfId="412"/>
    <tableColumn id="6" name="总伤害" dataDxfId="411"/>
    <tableColumn id="7" name="评价" dataDxfId="410"/>
    <tableColumn id="8" name="DPS损失" dataDxfId="409">
      <calculatedColumnFormula>单目标测评表[[#This Row],[总伤害]]/单目标测评表[[#This Row],[实际次数]]*(单目标测评表[[#This Row],[理论次数]]-单目标测评表[[#This Row],[实际次数]])/B31</calculatedColumnFormula>
    </tableColumn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3" name="武器" displayName="武器" ref="A1:R51" totalsRowShown="0" headerRowDxfId="408" dataDxfId="407" headerRowCellStyle="常规 2" dataCellStyle="常规 2">
  <autoFilter ref="A1:R51"/>
  <tableColumns count="18">
    <tableColumn id="1" name="名称" dataDxfId="406" dataCellStyle="常规 2"/>
    <tableColumn id="2" name="ILV" dataDxfId="405" dataCellStyle="常规 2"/>
    <tableColumn id="3" name="耐力" dataDxfId="404" dataCellStyle="常规 2"/>
    <tableColumn id="4" name="智力" dataDxfId="403" dataCellStyle="常规 2"/>
    <tableColumn id="5" name="精神" dataDxfId="402" dataCellStyle="常规 2"/>
    <tableColumn id="6" name="法术强度" dataDxfId="401" dataCellStyle="常规 2"/>
    <tableColumn id="7" name="急速" dataDxfId="400" dataCellStyle="常规 2"/>
    <tableColumn id="8" name="爆击" dataDxfId="399" dataCellStyle="常规 2"/>
    <tableColumn id="9" name="命中" dataDxfId="398" dataCellStyle="常规 2"/>
    <tableColumn id="10" name="MP5" dataDxfId="397" dataCellStyle="常规 2"/>
    <tableColumn id="11" name="红" dataDxfId="396" dataCellStyle="常规 2"/>
    <tableColumn id="12" name="黄" dataDxfId="395" dataCellStyle="常规 2"/>
    <tableColumn id="13" name="蓝" dataDxfId="394" dataCellStyle="常规 2"/>
    <tableColumn id="14" name="插槽奖励" dataDxfId="393" dataCellStyle="常规 2"/>
    <tableColumn id="15" name="出处" dataDxfId="392" dataCellStyle="常规 2"/>
    <tableColumn id="16" name="装备价值" dataDxfId="391" dataCellStyle="常规 2">
      <calculatedColumnFormula>D2*0.22+E2*0.59+F2*1+G2*0.98+H2*0.76</calculatedColumnFormula>
    </tableColumn>
    <tableColumn id="17" name="+含命中" dataDxfId="390" dataCellStyle="常规 2">
      <calculatedColumnFormula>P2+I2*1.88</calculatedColumnFormula>
    </tableColumn>
    <tableColumn id="18" name="双手" dataDxfId="389" dataCellStyle="常规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" name="魔杖" displayName="魔杖" ref="A1:Q19" totalsRowShown="0">
  <autoFilter ref="A1:Q19"/>
  <tableColumns count="17">
    <tableColumn id="1" name="名称" dataDxfId="388" dataCellStyle="常规 2"/>
    <tableColumn id="2" name="ILV" dataDxfId="387" dataCellStyle="常规 2"/>
    <tableColumn id="3" name="耐力" dataDxfId="386" dataCellStyle="常规 2"/>
    <tableColumn id="4" name="智力" dataDxfId="385" dataCellStyle="常规 2"/>
    <tableColumn id="5" name="精神" dataDxfId="384" dataCellStyle="常规 2"/>
    <tableColumn id="6" name="法术强度" dataDxfId="383" dataCellStyle="常规 2"/>
    <tableColumn id="7" name="急速" dataDxfId="382" dataCellStyle="常规 2"/>
    <tableColumn id="8" name="爆击" dataDxfId="381" dataCellStyle="常规 2"/>
    <tableColumn id="9" name="命中" dataDxfId="380" dataCellStyle="常规 2"/>
    <tableColumn id="10" name="MP5" dataDxfId="379" dataCellStyle="常规 2"/>
    <tableColumn id="11" name="红" dataDxfId="378" dataCellStyle="常规 2"/>
    <tableColumn id="12" name="黄" dataDxfId="377" dataCellStyle="常规 2"/>
    <tableColumn id="13" name="蓝" dataDxfId="376" dataCellStyle="常规 2"/>
    <tableColumn id="14" name="插槽奖励" dataDxfId="375" dataCellStyle="常规 2"/>
    <tableColumn id="15" name="出处" dataDxfId="374" dataCellStyle="常规 2"/>
    <tableColumn id="16" name="装备价值" dataDxfId="373" dataCellStyle="常规 2">
      <calculatedColumnFormula>D2*0.22+E2*0.59+F2*1+G2*0.98+H2*0.76</calculatedColumnFormula>
    </tableColumn>
    <tableColumn id="17" name="+含命中" dataDxfId="372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" name="头部" displayName="头部" ref="A1:R21" totalsRowShown="0" headerRowDxfId="371" dataDxfId="370" headerRowCellStyle="常规 2" dataCellStyle="常规 2">
  <autoFilter ref="A1:R21"/>
  <tableColumns count="18">
    <tableColumn id="1" name="名称" dataDxfId="369" dataCellStyle="常规 2"/>
    <tableColumn id="2" name="ILV" dataDxfId="368" dataCellStyle="常规 2"/>
    <tableColumn id="3" name="耐力" dataDxfId="367" dataCellStyle="常规 2"/>
    <tableColumn id="4" name="智力" dataDxfId="366" dataCellStyle="常规 2"/>
    <tableColumn id="5" name="精神" dataDxfId="365" dataCellStyle="常规 2"/>
    <tableColumn id="6" name="法术强度" dataDxfId="364" dataCellStyle="常规 2"/>
    <tableColumn id="7" name="急速" dataDxfId="363" dataCellStyle="常规 2"/>
    <tableColumn id="8" name="爆击" dataDxfId="362" dataCellStyle="常规 2"/>
    <tableColumn id="9" name="命中" dataDxfId="361" dataCellStyle="常规 2"/>
    <tableColumn id="10" name="MP5" dataDxfId="360" dataCellStyle="常规 2"/>
    <tableColumn id="11" name="红" dataDxfId="359" dataCellStyle="常规 2"/>
    <tableColumn id="12" name="黄" dataDxfId="358" dataCellStyle="常规 2"/>
    <tableColumn id="13" name="蓝" dataDxfId="357" dataCellStyle="常规 2"/>
    <tableColumn id="14" name="插槽奖励" dataDxfId="356" dataCellStyle="常规 2"/>
    <tableColumn id="15" name="多彩" dataDxfId="355" dataCellStyle="常规 2"/>
    <tableColumn id="16" name="出处" dataDxfId="354" dataCellStyle="常规 2"/>
    <tableColumn id="17" name="装备价值" dataDxfId="353" dataCellStyle="常规 2">
      <calculatedColumnFormula>D2*0.22+E2*0.59+F2*1+G2*0.98+H2*0.76</calculatedColumnFormula>
    </tableColumn>
    <tableColumn id="18" name="+含命中" dataDxfId="352" dataCellStyle="常规 2">
      <calculatedColumnFormula>Q2+I2*1.88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6" name="项链" displayName="项链" ref="A1:Q23" totalsRowShown="0" dataDxfId="351" dataCellStyle="常规 2">
  <autoFilter ref="A1:Q23"/>
  <tableColumns count="17">
    <tableColumn id="1" name="名称" dataDxfId="350" dataCellStyle="常规 2"/>
    <tableColumn id="2" name="ILV" dataDxfId="349" dataCellStyle="常规 2"/>
    <tableColumn id="3" name="耐力" dataDxfId="348" dataCellStyle="常规 2"/>
    <tableColumn id="4" name="智力" dataDxfId="347" dataCellStyle="常规 2"/>
    <tableColumn id="5" name="精神" dataDxfId="346" dataCellStyle="常规 2"/>
    <tableColumn id="6" name="法术强度" dataDxfId="345" dataCellStyle="常规 2"/>
    <tableColumn id="7" name="急速" dataDxfId="344" dataCellStyle="常规 2"/>
    <tableColumn id="8" name="爆击" dataDxfId="343" dataCellStyle="常规 2"/>
    <tableColumn id="9" name="命中" dataDxfId="342" dataCellStyle="常规 2"/>
    <tableColumn id="10" name="MP5" dataDxfId="341" dataCellStyle="常规 2"/>
    <tableColumn id="11" name="红" dataDxfId="340" dataCellStyle="常规 2"/>
    <tableColumn id="12" name="黄" dataDxfId="339" dataCellStyle="常规 2"/>
    <tableColumn id="13" name="蓝" dataDxfId="338" dataCellStyle="常规 2"/>
    <tableColumn id="14" name="插槽奖励" dataDxfId="337" dataCellStyle="常规 2"/>
    <tableColumn id="15" name="出处" dataDxfId="336" dataCellStyle="常规 2"/>
    <tableColumn id="16" name="装备价值" dataDxfId="335" dataCellStyle="常规 2">
      <calculatedColumnFormula>D2*0.22+E2*0.59+F2*1+G2*0.98+H2*0.76</calculatedColumnFormula>
    </tableColumn>
    <tableColumn id="17" name="+含命中" dataDxfId="33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7" name="肩部" displayName="肩部" ref="A1:Q19" totalsRowShown="0" dataDxfId="333" dataCellStyle="常规 2">
  <autoFilter ref="A1:Q19"/>
  <tableColumns count="17">
    <tableColumn id="1" name="名称" dataDxfId="332" dataCellStyle="常规 2"/>
    <tableColumn id="2" name="ILV" dataDxfId="331" dataCellStyle="常规 2"/>
    <tableColumn id="3" name="耐力" dataDxfId="330" dataCellStyle="常规 2"/>
    <tableColumn id="4" name="智力" dataDxfId="329" dataCellStyle="常规 2"/>
    <tableColumn id="5" name="精神" dataDxfId="328" dataCellStyle="常规 2"/>
    <tableColumn id="6" name="法术强度" dataDxfId="327" dataCellStyle="常规 2"/>
    <tableColumn id="7" name="急速" dataDxfId="326" dataCellStyle="常规 2"/>
    <tableColumn id="8" name="爆击" dataDxfId="325" dataCellStyle="常规 2"/>
    <tableColumn id="9" name="命中" dataDxfId="324" dataCellStyle="常规 2"/>
    <tableColumn id="10" name="MP5" dataDxfId="323" dataCellStyle="常规 2"/>
    <tableColumn id="11" name="红" dataDxfId="322" dataCellStyle="常规 2"/>
    <tableColumn id="12" name="黄" dataDxfId="321" dataCellStyle="常规 2"/>
    <tableColumn id="13" name="蓝" dataDxfId="320" dataCellStyle="常规 2"/>
    <tableColumn id="14" name="插槽奖励" dataDxfId="319" dataCellStyle="常规 2"/>
    <tableColumn id="15" name="出处" dataDxfId="318" dataCellStyle="常规 2"/>
    <tableColumn id="16" name="装备价值" dataDxfId="317" dataCellStyle="常规 2">
      <calculatedColumnFormula>D2*0.22+E2*0.59+F2*1+G2*0.98+H2*0.76</calculatedColumnFormula>
    </tableColumn>
    <tableColumn id="17" name="+含命中" dataDxfId="316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8" name="披风" displayName="披风" ref="A1:Q30" totalsRowShown="0">
  <autoFilter ref="A1:Q30"/>
  <tableColumns count="17">
    <tableColumn id="1" name="名称" dataDxfId="315" dataCellStyle="常规 2"/>
    <tableColumn id="2" name="ILV" dataDxfId="314" dataCellStyle="常规 2"/>
    <tableColumn id="3" name="耐力" dataDxfId="313" dataCellStyle="常规 2"/>
    <tableColumn id="4" name="智力" dataDxfId="312" dataCellStyle="常规 2"/>
    <tableColumn id="5" name="精神" dataDxfId="311" dataCellStyle="常规 2"/>
    <tableColumn id="6" name="法术强度" dataDxfId="310" dataCellStyle="常规 2"/>
    <tableColumn id="7" name="急速" dataDxfId="309" dataCellStyle="常规 2"/>
    <tableColumn id="8" name="爆击" dataDxfId="308" dataCellStyle="常规 2"/>
    <tableColumn id="9" name="命中" dataDxfId="307" dataCellStyle="常规 2"/>
    <tableColumn id="10" name="MP5" dataDxfId="306" dataCellStyle="常规 2"/>
    <tableColumn id="11" name="红" dataDxfId="305" dataCellStyle="常规 2"/>
    <tableColumn id="12" name="黄" dataDxfId="304" dataCellStyle="常规 2"/>
    <tableColumn id="13" name="蓝" dataDxfId="303" dataCellStyle="常规 2"/>
    <tableColumn id="14" name="插槽奖励" dataDxfId="302" dataCellStyle="常规 2"/>
    <tableColumn id="15" name="出处" dataDxfId="301" dataCellStyle="常规 2"/>
    <tableColumn id="16" name="装备价值" dataDxfId="300" dataCellStyle="常规 2">
      <calculatedColumnFormula>D2*0.22+E2*0.59+F2*1+G2*0.98+H2*0.76</calculatedColumnFormula>
    </tableColumn>
    <tableColumn id="17" name="+含命中" dataDxfId="29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9" name="胸部" displayName="胸部" ref="A1:Q28" totalsRowShown="0" dataDxfId="298" dataCellStyle="常规 2">
  <autoFilter ref="A1:Q28"/>
  <tableColumns count="17">
    <tableColumn id="1" name="名称" dataDxfId="297" dataCellStyle="常规 2"/>
    <tableColumn id="2" name="ILV" dataDxfId="296" dataCellStyle="常规 2"/>
    <tableColumn id="3" name="耐力" dataDxfId="295" dataCellStyle="常规 2"/>
    <tableColumn id="4" name="智力" dataDxfId="294" dataCellStyle="常规 2"/>
    <tableColumn id="5" name="精神" dataDxfId="293" dataCellStyle="常规 2"/>
    <tableColumn id="6" name="法术强度" dataDxfId="292" dataCellStyle="常规 2"/>
    <tableColumn id="7" name="急速" dataDxfId="291" dataCellStyle="常规 2"/>
    <tableColumn id="8" name="爆击" dataDxfId="290" dataCellStyle="常规 2"/>
    <tableColumn id="9" name="命中" dataDxfId="289" dataCellStyle="常规 2"/>
    <tableColumn id="10" name="MP5" dataDxfId="288" dataCellStyle="常规 2"/>
    <tableColumn id="11" name="红" dataDxfId="287" dataCellStyle="常规 2"/>
    <tableColumn id="12" name="黄" dataDxfId="286" dataCellStyle="常规 2"/>
    <tableColumn id="13" name="蓝" dataDxfId="285" dataCellStyle="常规 2"/>
    <tableColumn id="14" name="插槽奖励" dataDxfId="284" dataCellStyle="常规 2"/>
    <tableColumn id="15" name="出处" dataDxfId="283" dataCellStyle="常规 2"/>
    <tableColumn id="16" name="装备价值" dataDxfId="282" dataCellStyle="常规 2">
      <calculatedColumnFormula>D2*0.22+E2*0.59+F2*1+G2*0.98+H2*0.76</calculatedColumnFormula>
    </tableColumn>
    <tableColumn id="17" name="+含命中" dataDxfId="281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0" name="手腕" displayName="手腕" ref="A1:Q18" totalsRowShown="0">
  <autoFilter ref="A1:Q18"/>
  <tableColumns count="17">
    <tableColumn id="1" name="名称" dataDxfId="280" dataCellStyle="常规 2"/>
    <tableColumn id="2" name="ILV" dataDxfId="279" dataCellStyle="常规 2"/>
    <tableColumn id="3" name="耐力" dataDxfId="278" dataCellStyle="常规 2"/>
    <tableColumn id="4" name="智力" dataDxfId="277" dataCellStyle="常规 2"/>
    <tableColumn id="5" name="精神" dataDxfId="276" dataCellStyle="常规 2"/>
    <tableColumn id="6" name="法术强度" dataDxfId="275" dataCellStyle="常规 2"/>
    <tableColumn id="7" name="急速" dataDxfId="274" dataCellStyle="常规 2"/>
    <tableColumn id="8" name="爆击" dataDxfId="273" dataCellStyle="常规 2"/>
    <tableColumn id="9" name="命中" dataDxfId="272" dataCellStyle="常规 2"/>
    <tableColumn id="10" name="MP5" dataDxfId="271" dataCellStyle="常规 2"/>
    <tableColumn id="11" name="红" dataDxfId="270" dataCellStyle="常规 2"/>
    <tableColumn id="12" name="黄" dataDxfId="269" dataCellStyle="常规 2"/>
    <tableColumn id="13" name="蓝" dataDxfId="268" dataCellStyle="常规 2"/>
    <tableColumn id="14" name="插槽奖励" dataDxfId="267" dataCellStyle="常规 2"/>
    <tableColumn id="15" name="出处" dataDxfId="266" dataCellStyle="常规 2"/>
    <tableColumn id="16" name="装备价值" dataDxfId="265" dataCellStyle="常规 2">
      <calculatedColumnFormula>D2*0.22+E2*0.59+F2*1+G2*0.98+H2*0.76</calculatedColumnFormula>
    </tableColumn>
    <tableColumn id="17" name="+含命中" dataDxfId="26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1" name="手部" displayName="手部" ref="A1:Q24" totalsRowShown="0" dataDxfId="263" dataCellStyle="常规 2">
  <autoFilter ref="A1:Q24"/>
  <tableColumns count="17">
    <tableColumn id="1" name="名称" dataDxfId="262" dataCellStyle="常规 2"/>
    <tableColumn id="2" name="ILV" dataDxfId="261" dataCellStyle="常规 2"/>
    <tableColumn id="3" name="耐力" dataDxfId="260" dataCellStyle="常规 2"/>
    <tableColumn id="4" name="智力" dataDxfId="259" dataCellStyle="常规 2"/>
    <tableColumn id="5" name="精神" dataDxfId="258" dataCellStyle="常规 2"/>
    <tableColumn id="6" name="法术强度" dataDxfId="257" dataCellStyle="常规 2"/>
    <tableColumn id="7" name="急速" dataDxfId="256" dataCellStyle="常规 2"/>
    <tableColumn id="8" name="爆击" dataDxfId="255" dataCellStyle="常规 2"/>
    <tableColumn id="9" name="命中" dataDxfId="254" dataCellStyle="常规 2"/>
    <tableColumn id="10" name="MP5" dataDxfId="253" dataCellStyle="常规 2"/>
    <tableColumn id="11" name="红" dataDxfId="252" dataCellStyle="常规 2"/>
    <tableColumn id="12" name="黄" dataDxfId="251" dataCellStyle="常规 2"/>
    <tableColumn id="13" name="蓝" dataDxfId="250" dataCellStyle="常规 2"/>
    <tableColumn id="14" name="插槽奖励" dataDxfId="249" dataCellStyle="常规 2"/>
    <tableColumn id="15" name="出处" dataDxfId="248" dataCellStyle="常规 2"/>
    <tableColumn id="16" name="装备价值" dataDxfId="247" dataCellStyle="常规 2">
      <calculatedColumnFormula>D2*0.22+E2*0.59+F2*1+G2*0.98+H2*0.76</calculatedColumnFormula>
    </tableColumn>
    <tableColumn id="17" name="+含命中" dataDxfId="246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2" name="腰带" displayName="腰带" ref="A1:Q20" totalsRowShown="0">
  <autoFilter ref="A1:Q20"/>
  <tableColumns count="17">
    <tableColumn id="1" name="名称" dataDxfId="245" dataCellStyle="常规 2"/>
    <tableColumn id="2" name="ILV" dataDxfId="244" dataCellStyle="常规 2"/>
    <tableColumn id="3" name="耐力" dataDxfId="243" dataCellStyle="常规 2"/>
    <tableColumn id="4" name="智力" dataDxfId="242" dataCellStyle="常规 2"/>
    <tableColumn id="5" name="精神" dataDxfId="241" dataCellStyle="常规 2"/>
    <tableColumn id="6" name="法术强度" dataDxfId="240" dataCellStyle="常规 2"/>
    <tableColumn id="7" name="急速" dataDxfId="239" dataCellStyle="常规 2"/>
    <tableColumn id="8" name="爆击" dataDxfId="238" dataCellStyle="常规 2"/>
    <tableColumn id="9" name="命中" dataDxfId="237" dataCellStyle="常规 2"/>
    <tableColumn id="10" name="MP5" dataDxfId="236" dataCellStyle="常规 2"/>
    <tableColumn id="11" name="红" dataDxfId="235" dataCellStyle="常规 2"/>
    <tableColumn id="12" name="黄" dataDxfId="234" dataCellStyle="常规 2"/>
    <tableColumn id="13" name="蓝" dataDxfId="233" dataCellStyle="常规 2"/>
    <tableColumn id="14" name="插槽奖励" dataDxfId="232" dataCellStyle="常规 2"/>
    <tableColumn id="15" name="出处" dataDxfId="231" dataCellStyle="常规 2"/>
    <tableColumn id="16" name="装备价值" dataDxfId="230" dataCellStyle="常规 2">
      <calculatedColumnFormula>D2*0.22+E2*0.59+F2*1+G2*0.98+H2*0.76</calculatedColumnFormula>
    </tableColumn>
    <tableColumn id="17" name="+含命中" dataDxfId="22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3" name="腿部" displayName="腿部" ref="A1:Q24" totalsRowShown="0" dataDxfId="228" dataCellStyle="常规 2">
  <autoFilter ref="A1:Q24"/>
  <tableColumns count="17">
    <tableColumn id="1" name="名称" dataDxfId="227" dataCellStyle="常规 2"/>
    <tableColumn id="2" name="ILV" dataDxfId="226" dataCellStyle="常规 2"/>
    <tableColumn id="3" name="耐力" dataDxfId="225" dataCellStyle="常规 2"/>
    <tableColumn id="4" name="智力" dataDxfId="224" dataCellStyle="常规 2"/>
    <tableColumn id="5" name="精神" dataDxfId="223" dataCellStyle="常规 2"/>
    <tableColumn id="6" name="法术强度" dataDxfId="222" dataCellStyle="常规 2"/>
    <tableColumn id="7" name="急速" dataDxfId="221" dataCellStyle="常规 2"/>
    <tableColumn id="8" name="爆击" dataDxfId="220" dataCellStyle="常规 2"/>
    <tableColumn id="9" name="命中" dataDxfId="219" dataCellStyle="常规 2"/>
    <tableColumn id="10" name="MP5" dataDxfId="218" dataCellStyle="常规 2"/>
    <tableColumn id="11" name="红" dataDxfId="217" dataCellStyle="常规 2"/>
    <tableColumn id="12" name="黄" dataDxfId="216" dataCellStyle="常规 2"/>
    <tableColumn id="13" name="蓝" dataDxfId="215" dataCellStyle="常规 2"/>
    <tableColumn id="14" name="插槽奖励" dataDxfId="214" dataCellStyle="常规 2"/>
    <tableColumn id="15" name="出处" dataDxfId="213" dataCellStyle="常规 2"/>
    <tableColumn id="16" name="装备价值" dataDxfId="212" dataCellStyle="常规 2"/>
    <tableColumn id="17" name="+含命中" dataDxfId="211" dataCellStyle="常规 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4" name="脚部" displayName="脚部" ref="A1:Q16" totalsRowShown="0">
  <autoFilter ref="A1:Q16"/>
  <tableColumns count="17">
    <tableColumn id="1" name="名称" dataDxfId="210" dataCellStyle="常规 2"/>
    <tableColumn id="2" name="ILV" dataDxfId="209" dataCellStyle="常规 2"/>
    <tableColumn id="3" name="耐力" dataDxfId="208" dataCellStyle="常规 2"/>
    <tableColumn id="4" name="智力" dataDxfId="207" dataCellStyle="常规 2"/>
    <tableColumn id="5" name="精神" dataDxfId="206" dataCellStyle="常规 2"/>
    <tableColumn id="6" name="法术强度" dataDxfId="205" dataCellStyle="常规 2"/>
    <tableColumn id="7" name="急速" dataDxfId="204" dataCellStyle="常规 2"/>
    <tableColumn id="8" name="爆击" dataDxfId="203" dataCellStyle="常规 2"/>
    <tableColumn id="9" name="命中" dataDxfId="202" dataCellStyle="常规 2"/>
    <tableColumn id="10" name="MP5" dataDxfId="201" dataCellStyle="常规 2"/>
    <tableColumn id="11" name="红" dataDxfId="200" dataCellStyle="常规 2"/>
    <tableColumn id="12" name="黄" dataDxfId="199" dataCellStyle="常规 2"/>
    <tableColumn id="13" name="蓝" dataDxfId="198" dataCellStyle="常规 2"/>
    <tableColumn id="14" name="插槽奖励" dataDxfId="197" dataCellStyle="常规 2"/>
    <tableColumn id="15" name="出处" dataDxfId="196" dataCellStyle="常规 2"/>
    <tableColumn id="16" name="装备价值" dataDxfId="195" dataCellStyle="常规 2">
      <calculatedColumnFormula>D2*0.22+E2*0.59+F2*1+G2*0.98+H2*0.76</calculatedColumnFormula>
    </tableColumn>
    <tableColumn id="17" name="+含命中" dataDxfId="19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5" name="手指" displayName="手指" ref="A1:R42" totalsRowShown="0">
  <autoFilter ref="A1:R42"/>
  <tableColumns count="18">
    <tableColumn id="1" name="名称" dataDxfId="193" dataCellStyle="常规 2"/>
    <tableColumn id="2" name="ILV" dataDxfId="192" dataCellStyle="常规 2"/>
    <tableColumn id="3" name="耐力" dataDxfId="191" dataCellStyle="常规 2"/>
    <tableColumn id="4" name="智力" dataDxfId="190" dataCellStyle="常规 2"/>
    <tableColumn id="5" name="精神" dataDxfId="189" dataCellStyle="常规 2"/>
    <tableColumn id="6" name="法术强度" dataDxfId="188" dataCellStyle="常规 2"/>
    <tableColumn id="7" name="急速" dataDxfId="187" dataCellStyle="常规 2"/>
    <tableColumn id="8" name="爆击" dataDxfId="186" dataCellStyle="常规 2"/>
    <tableColumn id="9" name="命中" dataDxfId="185" dataCellStyle="常规 2"/>
    <tableColumn id="10" name="MP5" dataDxfId="184" dataCellStyle="常规 2"/>
    <tableColumn id="11" name="红" dataDxfId="183" dataCellStyle="常规 2"/>
    <tableColumn id="12" name="黄" dataDxfId="182" dataCellStyle="常规 2"/>
    <tableColumn id="13" name="蓝" dataDxfId="181" dataCellStyle="常规 2"/>
    <tableColumn id="14" name="插槽奖励" dataDxfId="180" dataCellStyle="常规 2"/>
    <tableColumn id="15" name="出处" dataDxfId="179" dataCellStyle="常规 2"/>
    <tableColumn id="16" name="装备价值" dataDxfId="178" dataCellStyle="常规 2">
      <calculatedColumnFormula>D2*0.22+E2*0.59+F2*1+G2*0.98+H2*0.76</calculatedColumnFormula>
    </tableColumn>
    <tableColumn id="17" name="+含命中" dataDxfId="177" dataCellStyle="常规 2">
      <calculatedColumnFormula>P2+I2*1.88</calculatedColumnFormula>
    </tableColumn>
    <tableColumn id="18" name="特效" dataDxfId="176" dataCellStyle="常规 2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4" name="副手" displayName="副手" ref="A1:Q17" totalsRowShown="0">
  <autoFilter ref="A1:Q17"/>
  <tableColumns count="17">
    <tableColumn id="1" name="名称" dataDxfId="175" dataCellStyle="常规 2"/>
    <tableColumn id="2" name="ILV" dataDxfId="174" dataCellStyle="常规 2"/>
    <tableColumn id="3" name="耐力" dataDxfId="173" dataCellStyle="常规 2"/>
    <tableColumn id="4" name="智力" dataDxfId="172" dataCellStyle="常规 2"/>
    <tableColumn id="5" name="精神" dataDxfId="171" dataCellStyle="常规 2"/>
    <tableColumn id="6" name="法术强度" dataDxfId="170" dataCellStyle="常规 2"/>
    <tableColumn id="7" name="急速" dataDxfId="169" dataCellStyle="常规 2"/>
    <tableColumn id="8" name="爆击" dataDxfId="168" dataCellStyle="常规 2"/>
    <tableColumn id="9" name="命中" dataDxfId="167" dataCellStyle="常规 2"/>
    <tableColumn id="10" name="MP5" dataDxfId="166" dataCellStyle="常规 2"/>
    <tableColumn id="11" name="红" dataDxfId="165" dataCellStyle="常规 2"/>
    <tableColumn id="12" name="黄" dataDxfId="164" dataCellStyle="常规 2"/>
    <tableColumn id="13" name="蓝" dataDxfId="163" dataCellStyle="常规 2"/>
    <tableColumn id="14" name="插槽奖励" dataDxfId="162" dataCellStyle="常规 2"/>
    <tableColumn id="15" name="出处" dataDxfId="161" dataCellStyle="常规 2"/>
    <tableColumn id="16" name="装备价值" dataDxfId="160" dataCellStyle="常规 2">
      <calculatedColumnFormula>D2*0.22+E2*0.59+F2*1+G2*0.98+H2*0.76</calculatedColumnFormula>
    </tableColumn>
    <tableColumn id="17" name="+含命中" dataDxfId="15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6" name="饰品" displayName="饰品" ref="A1:M34" totalsRowShown="0" headerRowDxfId="158" dataDxfId="157" headerRowCellStyle="常规 2" dataCellStyle="常规 2">
  <autoFilter ref="A1:M34"/>
  <tableColumns count="13">
    <tableColumn id="1" name="名称" dataDxfId="156" dataCellStyle="常规 2"/>
    <tableColumn id="2" name="ILV" dataDxfId="155" dataCellStyle="常规 2"/>
    <tableColumn id="3" name="耐力" dataDxfId="154" dataCellStyle="常规 2"/>
    <tableColumn id="4" name="智力" dataDxfId="153" dataCellStyle="常规 2"/>
    <tableColumn id="5" name="精神" dataDxfId="152" dataCellStyle="常规 2"/>
    <tableColumn id="6" name="法术强度" dataDxfId="151" dataCellStyle="常规 2"/>
    <tableColumn id="7" name="急速" dataDxfId="150" dataCellStyle="常规 2"/>
    <tableColumn id="8" name="爆击" dataDxfId="149" dataCellStyle="常规 2"/>
    <tableColumn id="9" name="命中" dataDxfId="148" dataCellStyle="常规 2"/>
    <tableColumn id="10" name="MP5" dataDxfId="147" dataCellStyle="常规 2"/>
    <tableColumn id="11" name="属性" dataDxfId="146" dataCellStyle="常规 2"/>
    <tableColumn id="12" name="出处" dataDxfId="145" dataCellStyle="常规 2"/>
    <tableColumn id="13" name="特效（勿动）" dataDxfId="144" dataCellStyle="常规 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7" name="石头" displayName="石头" ref="A1:I16" totalsRowShown="0" headerRowDxfId="143" headerRowBorderDxfId="142" tableBorderDxfId="141" headerRowCellStyle="常规 2">
  <autoFilter ref="A1:I16"/>
  <tableColumns count="9">
    <tableColumn id="1" name="名称"/>
    <tableColumn id="2" name="颜色"/>
    <tableColumn id="3" name="耐力"/>
    <tableColumn id="4" name="智力"/>
    <tableColumn id="5" name="精神"/>
    <tableColumn id="6" name="法术强度"/>
    <tableColumn id="7" name="急速"/>
    <tableColumn id="8" name="爆击"/>
    <tableColumn id="9" name="命中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36" name="多彩" displayName="多彩" ref="A1:J6" totalsRowShown="0" headerRowDxfId="140" dataDxfId="139" tableBorderDxfId="138" headerRowCellStyle="常规 2">
  <autoFilter ref="A1:J6"/>
  <tableColumns count="10">
    <tableColumn id="1" name="名称" dataDxfId="137"/>
    <tableColumn id="2" name="特效" dataDxfId="136"/>
    <tableColumn id="3" name="耐力" dataDxfId="135"/>
    <tableColumn id="4" name="智力" dataDxfId="134"/>
    <tableColumn id="5" name="精神" dataDxfId="133"/>
    <tableColumn id="6" name="法术强度" dataDxfId="132"/>
    <tableColumn id="7" name="急速" dataDxfId="131"/>
    <tableColumn id="8" name="爆击" dataDxfId="130"/>
    <tableColumn id="9" name="命中" dataDxfId="129"/>
    <tableColumn id="10" name="备注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37" name="基础属性" displayName="基础属性" ref="A1:I8" totalsRowShown="0" headerRowDxfId="128" headerRowBorderDxfId="127" tableBorderDxfId="126" headerRowCellStyle="常规 2">
  <autoFilter ref="A1:I8"/>
  <tableColumns count="9">
    <tableColumn id="1" name="名称"/>
    <tableColumn id="2" name="特效"/>
    <tableColumn id="3" name="耐力"/>
    <tableColumn id="4" name="智力"/>
    <tableColumn id="5" name="精神"/>
    <tableColumn id="6" name="法术强度"/>
    <tableColumn id="7" name="急速"/>
    <tableColumn id="8" name="爆击"/>
    <tableColumn id="9" name="命中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7" name="武器附魔" displayName="武器附魔" ref="A1:J4" totalsRowShown="0" headerRowDxfId="125" dataDxfId="123" headerRowBorderDxfId="124" tableBorderDxfId="122" headerRowCellStyle="常规 2" dataCellStyle="常规 2">
  <autoFilter ref="A1:J4"/>
  <tableColumns count="10">
    <tableColumn id="1" name="附魔名称" dataDxfId="121" dataCellStyle="常规 2"/>
    <tableColumn id="2" name="特效" dataDxfId="120" dataCellStyle="常规 2"/>
    <tableColumn id="3" name="耐力" dataDxfId="119" dataCellStyle="常规 2"/>
    <tableColumn id="4" name="智力" dataDxfId="118" dataCellStyle="常规 2"/>
    <tableColumn id="5" name="精神" dataDxfId="117" dataCellStyle="常规 2"/>
    <tableColumn id="6" name="法术强度" dataDxfId="116" dataCellStyle="常规 2"/>
    <tableColumn id="7" name="急速" dataDxfId="115" dataCellStyle="常规 2"/>
    <tableColumn id="8" name="爆击" dataDxfId="114" dataCellStyle="常规 2"/>
    <tableColumn id="9" name="命中" dataDxfId="113" dataCellStyle="常规 2"/>
    <tableColumn id="10" name="MP5" dataDxfId="112" dataCellStyle="常规 2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18" name="头部附魔" displayName="头部附魔" ref="A8:J11" totalsRowShown="0" headerRowDxfId="111" dataDxfId="110" headerRowCellStyle="常规 2" dataCellStyle="常规 2">
  <autoFilter ref="A8:J11"/>
  <tableColumns count="10">
    <tableColumn id="1" name="附魔名称" dataDxfId="109" dataCellStyle="常规 2"/>
    <tableColumn id="2" name="特效" dataDxfId="108" dataCellStyle="常规 2"/>
    <tableColumn id="3" name="耐力" dataDxfId="107" dataCellStyle="常规 2"/>
    <tableColumn id="4" name="智力" dataDxfId="106" dataCellStyle="常规 2"/>
    <tableColumn id="5" name="精神" dataDxfId="105" dataCellStyle="常规 2"/>
    <tableColumn id="6" name="法术强度" dataDxfId="104" dataCellStyle="常规 2"/>
    <tableColumn id="7" name="急速" dataDxfId="103" dataCellStyle="常规 2"/>
    <tableColumn id="8" name="爆击" dataDxfId="102" dataCellStyle="常规 2"/>
    <tableColumn id="9" name="命中" dataDxfId="101" dataCellStyle="常规 2"/>
    <tableColumn id="10" name="MP5" dataDxfId="100" dataCellStyle="常规 2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9" name="肩部附魔" displayName="肩部附魔" ref="A15:J17" totalsRowShown="0" headerRowDxfId="99" dataDxfId="98" headerRowCellStyle="常规 2" dataCellStyle="常规 2">
  <autoFilter ref="A15:J17"/>
  <tableColumns count="10">
    <tableColumn id="1" name="附魔名称" dataDxfId="97" dataCellStyle="常规 2"/>
    <tableColumn id="2" name="特效" dataDxfId="96" dataCellStyle="常规 2"/>
    <tableColumn id="3" name="耐力" dataDxfId="95" dataCellStyle="常规 2"/>
    <tableColumn id="4" name="智力" dataDxfId="94" dataCellStyle="常规 2"/>
    <tableColumn id="5" name="精神" dataDxfId="93" dataCellStyle="常规 2"/>
    <tableColumn id="6" name="法术强度" dataDxfId="92" dataCellStyle="常规 2"/>
    <tableColumn id="7" name="急速" dataDxfId="91" dataCellStyle="常规 2"/>
    <tableColumn id="8" name="爆击" dataDxfId="90" dataCellStyle="常规 2"/>
    <tableColumn id="9" name="命中" dataDxfId="89" dataCellStyle="常规 2"/>
    <tableColumn id="10" name="MP5" dataDxfId="88" dataCellStyle="常规 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0" name="披风附魔" displayName="披风附魔" ref="A22:J26" totalsRowShown="0" headerRowDxfId="87" dataDxfId="86" headerRowCellStyle="常规 2" dataCellStyle="常规 2">
  <autoFilter ref="A22:J26"/>
  <tableColumns count="10">
    <tableColumn id="1" name="附魔名称" dataDxfId="85" dataCellStyle="常规 2"/>
    <tableColumn id="2" name="特效" dataDxfId="84" dataCellStyle="常规 2"/>
    <tableColumn id="3" name="耐力" dataDxfId="83" dataCellStyle="常规 2"/>
    <tableColumn id="4" name="智力" dataDxfId="82" dataCellStyle="常规 2"/>
    <tableColumn id="5" name="精神" dataDxfId="81" dataCellStyle="常规 2"/>
    <tableColumn id="6" name="法术强度" dataDxfId="80" dataCellStyle="常规 2"/>
    <tableColumn id="7" name="急速" dataDxfId="79" dataCellStyle="常规 2"/>
    <tableColumn id="8" name="爆击" dataDxfId="78" dataCellStyle="常规 2"/>
    <tableColumn id="9" name="命中" dataDxfId="77" dataCellStyle="常规 2"/>
    <tableColumn id="10" name="MP5" dataDxfId="76" dataCellStyle="常规 2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1" name="胸部附魔" displayName="胸部附魔" ref="A30:I32" totalsRowShown="0" headerRowDxfId="75" dataDxfId="74" headerRowCellStyle="常规 2" dataCellStyle="常规 2">
  <autoFilter ref="A30:I32"/>
  <tableColumns count="9">
    <tableColumn id="1" name="附魔名称" dataDxfId="73" dataCellStyle="常规 2"/>
    <tableColumn id="2" name="特效" dataDxfId="72" dataCellStyle="常规 2"/>
    <tableColumn id="3" name="耐力" dataDxfId="71" dataCellStyle="常规 2"/>
    <tableColumn id="4" name="智力" dataDxfId="70" dataCellStyle="常规 2"/>
    <tableColumn id="5" name="精神" dataDxfId="69" dataCellStyle="常规 2"/>
    <tableColumn id="6" name="法术强度" dataDxfId="68" dataCellStyle="常规 2"/>
    <tableColumn id="7" name="急速" dataDxfId="67" dataCellStyle="常规 2"/>
    <tableColumn id="8" name="爆击" dataDxfId="66" dataCellStyle="常规 2"/>
    <tableColumn id="9" name="命中" dataDxfId="65" dataCellStyle="常规 2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22" name="手腕附魔" displayName="手腕附魔" ref="A36:I39" totalsRowShown="0" headerRowDxfId="64" dataDxfId="62" headerRowBorderDxfId="63" tableBorderDxfId="61" headerRowCellStyle="常规 2" dataCellStyle="常规 2">
  <autoFilter ref="A36:I39"/>
  <tableColumns count="9">
    <tableColumn id="1" name="附魔名称" dataDxfId="60" dataCellStyle="常规 2"/>
    <tableColumn id="2" name="特效" dataDxfId="59" dataCellStyle="常规 2"/>
    <tableColumn id="3" name="耐力" dataDxfId="58" dataCellStyle="常规 2"/>
    <tableColumn id="4" name="智力" dataDxfId="57" dataCellStyle="常规 2"/>
    <tableColumn id="5" name="精神" dataDxfId="56" dataCellStyle="常规 2"/>
    <tableColumn id="6" name="法术强度" dataDxfId="55" dataCellStyle="常规 2"/>
    <tableColumn id="7" name="急速" dataDxfId="54" dataCellStyle="常规 2"/>
    <tableColumn id="8" name="爆击" dataDxfId="53" dataCellStyle="常规 2"/>
    <tableColumn id="9" name="命中" dataDxfId="52" dataCellStyle="常规 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4" name="腿部附魔" displayName="腿部附魔" ref="A42:I44" totalsRowShown="0" headerRowDxfId="51" dataDxfId="49" headerRowBorderDxfId="50" tableBorderDxfId="48" headerRowCellStyle="常规 2" dataCellStyle="常规 2">
  <autoFilter ref="A42:I44"/>
  <tableColumns count="9">
    <tableColumn id="1" name="附魔名称" dataDxfId="47" dataCellStyle="常规 2"/>
    <tableColumn id="2" name="特效" dataDxfId="46" dataCellStyle="常规 2"/>
    <tableColumn id="3" name="耐力" dataDxfId="45" dataCellStyle="常规 2"/>
    <tableColumn id="4" name="智力" dataDxfId="44" dataCellStyle="常规 2"/>
    <tableColumn id="5" name="精神" dataDxfId="43" dataCellStyle="常规 2"/>
    <tableColumn id="6" name="法术强度" dataDxfId="42" dataCellStyle="常规 2"/>
    <tableColumn id="7" name="急速" dataDxfId="41" dataCellStyle="常规 2"/>
    <tableColumn id="8" name="爆击" dataDxfId="40" dataCellStyle="常规 2"/>
    <tableColumn id="9" name="命中" dataDxfId="39" dataCellStyle="常规 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5" name="脚部附魔" displayName="脚部附魔" ref="A48:I51" totalsRowShown="0" headerRowDxfId="38" dataDxfId="36" headerRowBorderDxfId="37" tableBorderDxfId="35" headerRowCellStyle="常规 2" dataCellStyle="常规 2">
  <autoFilter ref="A48:I51"/>
  <tableColumns count="9">
    <tableColumn id="1" name="附魔名称" dataDxfId="34" dataCellStyle="常规 2"/>
    <tableColumn id="2" name="特效" dataDxfId="33" dataCellStyle="常规 2"/>
    <tableColumn id="3" name="耐力" dataDxfId="32" dataCellStyle="常规 2"/>
    <tableColumn id="4" name="智力" dataDxfId="31" dataCellStyle="常规 2"/>
    <tableColumn id="5" name="精神" dataDxfId="30" dataCellStyle="常规 2"/>
    <tableColumn id="6" name="法术强度" dataDxfId="29" dataCellStyle="常规 2"/>
    <tableColumn id="7" name="急速" dataDxfId="28" dataCellStyle="常规 2"/>
    <tableColumn id="8" name="爆击" dataDxfId="27" dataCellStyle="常规 2"/>
    <tableColumn id="9" name="命中" dataDxfId="26" dataCellStyle="常规 2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6" name="手指附魔" displayName="手指附魔" ref="A54:I56" totalsRowShown="0" headerRowDxfId="25" dataDxfId="23" headerRowBorderDxfId="24" tableBorderDxfId="22" headerRowCellStyle="常规 2" dataCellStyle="常规 2">
  <autoFilter ref="A54:I56"/>
  <tableColumns count="9">
    <tableColumn id="1" name="附魔名称" dataDxfId="21" dataCellStyle="常规 2"/>
    <tableColumn id="2" name="特效" dataDxfId="20" dataCellStyle="常规 2"/>
    <tableColumn id="3" name="耐力" dataDxfId="19" dataCellStyle="常规 2"/>
    <tableColumn id="4" name="智力" dataDxfId="18" dataCellStyle="常规 2"/>
    <tableColumn id="5" name="精神" dataDxfId="17" dataCellStyle="常规 2"/>
    <tableColumn id="6" name="法术强度" dataDxfId="16" dataCellStyle="常规 2"/>
    <tableColumn id="7" name="急速" dataDxfId="15" dataCellStyle="常规 2"/>
    <tableColumn id="8" name="爆击" dataDxfId="14" dataCellStyle="常规 2"/>
    <tableColumn id="9" name="命中" dataDxfId="13" dataCellStyle="常规 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3" name="手部附魔" displayName="手部附魔" ref="A61:I65" totalsRowShown="0" headerRowDxfId="12" dataDxfId="10" headerRowBorderDxfId="11" tableBorderDxfId="9" headerRowCellStyle="常规 2" dataCellStyle="常规 2">
  <autoFilter ref="A61:I65"/>
  <tableColumns count="9">
    <tableColumn id="1" name="附魔名称" dataDxfId="8" dataCellStyle="常规 2"/>
    <tableColumn id="2" name="特效" dataDxfId="7" dataCellStyle="常规 2"/>
    <tableColumn id="3" name="耐力" dataDxfId="6" dataCellStyle="常规 2"/>
    <tableColumn id="4" name="智力" dataDxfId="5" dataCellStyle="常规 2"/>
    <tableColumn id="5" name="精神" dataDxfId="4" dataCellStyle="常规 2"/>
    <tableColumn id="6" name="法术强度" dataDxfId="3" dataCellStyle="常规 2"/>
    <tableColumn id="7" name="急速" dataDxfId="2" dataCellStyle="常规 2"/>
    <tableColumn id="8" name="爆击" dataDxfId="1" dataCellStyle="常规 2"/>
    <tableColumn id="9" name="命中" dataDxfId="0" dataCellStyle="常规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7.xml"/><Relationship Id="rId3" Type="http://schemas.openxmlformats.org/officeDocument/2006/relationships/table" Target="../tables/table32.xml"/><Relationship Id="rId7" Type="http://schemas.openxmlformats.org/officeDocument/2006/relationships/table" Target="../tables/table36.xml"/><Relationship Id="rId2" Type="http://schemas.openxmlformats.org/officeDocument/2006/relationships/table" Target="../tables/table31.xml"/><Relationship Id="rId1" Type="http://schemas.openxmlformats.org/officeDocument/2006/relationships/table" Target="../tables/table30.xml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10" Type="http://schemas.openxmlformats.org/officeDocument/2006/relationships/table" Target="../tables/table39.xml"/><Relationship Id="rId4" Type="http://schemas.openxmlformats.org/officeDocument/2006/relationships/table" Target="../tables/table33.xml"/><Relationship Id="rId9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CB100"/>
  <sheetViews>
    <sheetView tabSelected="1" zoomScaleNormal="100" workbookViewId="0">
      <selection activeCell="C12" sqref="C12"/>
    </sheetView>
  </sheetViews>
  <sheetFormatPr defaultRowHeight="13.5" x14ac:dyDescent="0.15"/>
  <cols>
    <col min="3" max="3" width="25.375" customWidth="1"/>
    <col min="4" max="4" width="9.875" customWidth="1"/>
    <col min="8" max="8" width="9.5" customWidth="1"/>
    <col min="10" max="10" width="9.5" customWidth="1"/>
    <col min="11" max="11" width="19.375" customWidth="1"/>
    <col min="12" max="12" width="17.625" customWidth="1"/>
    <col min="13" max="13" width="17.375" customWidth="1"/>
    <col min="14" max="14" width="18.875" customWidth="1"/>
    <col min="15" max="15" width="10.625" customWidth="1"/>
    <col min="17" max="17" width="18.75" customWidth="1"/>
    <col min="53" max="53" width="2.75" style="59" customWidth="1"/>
    <col min="54" max="55" width="3" style="59" customWidth="1"/>
    <col min="56" max="56" width="2.5" style="59" customWidth="1"/>
    <col min="57" max="57" width="2.875" style="59" customWidth="1"/>
    <col min="58" max="59" width="3.375" style="59" customWidth="1"/>
    <col min="60" max="60" width="3.75" style="59" customWidth="1"/>
    <col min="61" max="61" width="3.875" style="59" customWidth="1"/>
    <col min="62" max="62" width="3.625" style="59" customWidth="1"/>
    <col min="63" max="63" width="4.25" style="59" customWidth="1"/>
    <col min="64" max="64" width="5.625" style="59" customWidth="1"/>
    <col min="65" max="65" width="5.375" style="59" customWidth="1"/>
    <col min="66" max="66" width="4.25" style="59" customWidth="1"/>
    <col min="67" max="67" width="3.375" style="59" customWidth="1"/>
    <col min="68" max="69" width="10.125" style="59" customWidth="1"/>
    <col min="70" max="70" width="16.625" style="59" customWidth="1"/>
    <col min="71" max="80" width="9" style="59"/>
  </cols>
  <sheetData>
    <row r="2" spans="2:80" x14ac:dyDescent="0.15">
      <c r="B2" t="s">
        <v>250</v>
      </c>
      <c r="C2" t="s">
        <v>251</v>
      </c>
      <c r="D2" t="s">
        <v>244</v>
      </c>
      <c r="E2" t="s">
        <v>245</v>
      </c>
      <c r="F2" t="s">
        <v>246</v>
      </c>
      <c r="G2" t="s">
        <v>247</v>
      </c>
      <c r="H2" t="s">
        <v>248</v>
      </c>
      <c r="I2" t="s">
        <v>249</v>
      </c>
      <c r="J2" t="s">
        <v>392</v>
      </c>
      <c r="K2" t="s">
        <v>395</v>
      </c>
      <c r="L2" t="s">
        <v>255</v>
      </c>
      <c r="M2" t="s">
        <v>256</v>
      </c>
      <c r="N2" t="s">
        <v>369</v>
      </c>
      <c r="O2" t="s">
        <v>388</v>
      </c>
      <c r="Q2" s="54" t="s">
        <v>537</v>
      </c>
      <c r="BA2" s="60" t="str">
        <f>武器!$A2</f>
        <v>泰瑞纳斯二世的皇家权杖(H)</v>
      </c>
      <c r="BB2" s="60" t="str">
        <f>头部!A2</f>
        <v>神圣血色侍僧头巾(H)</v>
      </c>
      <c r="BC2" s="60" t="str">
        <f>项链!A2</f>
        <v>鲜血皇后的殷红项圈(H)</v>
      </c>
      <c r="BD2" s="60" t="str">
        <f>肩部!A2</f>
        <v>神圣血色侍僧衬肩(H)</v>
      </c>
      <c r="BE2" s="60" t="str">
        <f>披风!A2</f>
        <v>暮色蒸腾披风(H)</v>
      </c>
      <c r="BF2" s="60" t="str">
        <f>胸部!A2</f>
        <v>神圣血色侍僧罩袍(H)</v>
      </c>
      <c r="BG2" s="60" t="str">
        <f>手腕!A2</f>
        <v>火夜护腕(H)</v>
      </c>
      <c r="BH2" s="60" t="str">
        <f>手部!A2</f>
        <v>神圣血色侍僧裹手(H)</v>
      </c>
      <c r="BI2" s="60" t="str">
        <f>腰带!A2</f>
        <v>顽疾束带(H)</v>
      </c>
      <c r="BJ2" s="60" t="str">
        <f>腿部!A2</f>
        <v>神圣血色侍僧长裤(H)</v>
      </c>
      <c r="BK2" s="60" t="str">
        <f>脚部!A2</f>
        <v>天灾科学家长靴(H)</v>
      </c>
      <c r="BL2" s="60" t="str">
        <f>手指!A2</f>
        <v>定向恢复之戒(H)</v>
      </c>
      <c r="BM2" s="60" t="str">
        <f>饰品!A2</f>
        <v>焦黑暮光龙鳞(H)</v>
      </c>
      <c r="BN2" s="60" t="str">
        <f>副手!A2</f>
        <v>永恒暮色日晷(H)</v>
      </c>
      <c r="BO2" s="60" t="str">
        <f>魔杖!A2</f>
        <v>梦魇终结者(H)</v>
      </c>
      <c r="BP2" s="59" t="str">
        <f>多彩!A2</f>
        <v>明亮之大地侵攻钻石</v>
      </c>
      <c r="BQ2" s="59" t="str">
        <f>基础属性!A2</f>
        <v>人类</v>
      </c>
      <c r="BR2" s="59" t="str">
        <f>石头!A2</f>
        <v>23法术强度</v>
      </c>
      <c r="BS2" s="60" t="str">
        <f>附魔!A2</f>
        <v>黑魔法</v>
      </c>
      <c r="BT2" s="60" t="str">
        <f>附魔!A9</f>
        <v>燃烧谜团秘药</v>
      </c>
      <c r="BU2" s="60" t="str">
        <f>附魔!A16</f>
        <v>强效风暴铭文</v>
      </c>
      <c r="BV2" s="60" t="str">
        <f>附魔!A23</f>
        <v>27法术强度</v>
      </c>
      <c r="BW2" s="60" t="str">
        <f>附魔!A31</f>
        <v>10属性</v>
      </c>
      <c r="BX2" s="60" t="str">
        <f>附魔!A37</f>
        <v>30法术强度</v>
      </c>
      <c r="BY2" s="60" t="str">
        <f>附魔!A43</f>
        <v>50法术强度20精神</v>
      </c>
      <c r="BZ2" s="60" t="str">
        <f>附魔!A49</f>
        <v>硝化甘油推进器</v>
      </c>
      <c r="CA2" s="60" t="str">
        <f>附魔!A55</f>
        <v>23法术强度</v>
      </c>
      <c r="CB2" s="60" t="str">
        <f>附魔!A62</f>
        <v>超级加速器</v>
      </c>
    </row>
    <row r="3" spans="2:80" x14ac:dyDescent="0.15">
      <c r="B3" s="19" t="s">
        <v>405</v>
      </c>
      <c r="C3" s="12" t="s">
        <v>514</v>
      </c>
      <c r="D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123</v>
      </c>
      <c r="E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10</v>
      </c>
      <c r="F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212</v>
      </c>
      <c r="G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84</v>
      </c>
      <c r="H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128</v>
      </c>
      <c r="I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0</v>
      </c>
      <c r="J3" t="str">
        <f>CONCATENATE(IF(VLOOKUP(人物属性设置[[#This Row],[名称]],头部[#All],11,FALSE),CONCATENATE(VLOOKUP(人物属性设置[[#This Row],[名称]],头部[#All],11,FALSE),"红"),""),IF(VLOOKUP(人物属性设置[[#This Row],[名称]],头部[#All],12,FALSE),CONCATENATE(VLOOKUP(人物属性设置[[#This Row],[名称]],头部[#All],12,FALSE),"黄"),""),IF(VLOOKUP(人物属性设置[[#This Row],[名称]],头部[#All],13,FALSE),CONCATENATE(VLOOKUP(人物属性设置[[#This Row],[名称]],头部[#All],13,FALSE),"蓝"),""))</f>
        <v>1蓝</v>
      </c>
      <c r="K3" s="15" t="s">
        <v>378</v>
      </c>
      <c r="L3" s="13" t="s">
        <v>389</v>
      </c>
      <c r="M3" s="13" t="s">
        <v>389</v>
      </c>
      <c r="N3" s="12" t="s">
        <v>398</v>
      </c>
      <c r="O3" t="str">
        <f>GemAward(VLOOKUP(人物属性设置[[#This Row],[名称]],头部[#All],11,FALSE),VLOOKUP(人物属性设置[[#This Row],[名称]],头部[#All],12,FALSE),VLOOKUP(人物属性设置[[#This Row],[名称]],头部[#All],13,FALSE),VLOOKUP(人物属性设置[[#This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3" s="55" t="str">
        <f>IF(VLOOKUP(人物属性设置[[#This Row],[附魔]],头部附魔[#All],2,FALSE)&lt;&gt;"",VLOOKUP(人物属性设置[[#This Row],[附魔]],头部附魔[#All],2,FALSE),"")</f>
        <v/>
      </c>
      <c r="BA3" s="60" t="str">
        <f>武器!$A3</f>
        <v>创伤(H)</v>
      </c>
      <c r="BB3" s="60" t="str">
        <f>头部!A3</f>
        <v>神圣血色侍僧罩帽(H)</v>
      </c>
      <c r="BC3" s="60" t="str">
        <f>项链!A3</f>
        <v>圣日的恩泽(H)</v>
      </c>
      <c r="BD3" s="60" t="str">
        <f>肩部!A3</f>
        <v xml:space="preserve"> 神圣血色侍僧肩垫 (H)</v>
      </c>
      <c r="BE3" s="60" t="str">
        <f>披风!A3</f>
        <v>霜缚者的残破斗篷(H)</v>
      </c>
      <c r="BF3" s="60" t="str">
        <f>胸部!A3</f>
        <v>神圣血色侍僧法袍(H)</v>
      </c>
      <c r="BG3" s="60" t="str">
        <f>手腕!A3</f>
        <v>死亡医师的袖腕(H)</v>
      </c>
      <c r="BH3" s="60" t="str">
        <f>手部!A3</f>
        <v>神圣血色侍僧手套(H)</v>
      </c>
      <c r="BI3" s="60" t="str">
        <f>腰带!A3</f>
        <v>破碎冷魂腰带(H)</v>
      </c>
      <c r="BJ3" s="60" t="str">
        <f>腿部!A3</f>
        <v>神圣血色侍僧护腿(H)</v>
      </c>
      <c r="BK3" s="60" t="str">
        <f>脚部!A3</f>
        <v>白凶长靴(H)</v>
      </c>
      <c r="BL3" s="60" t="str">
        <f>手指!A3</f>
        <v>玛利苟斯的回忆(H)</v>
      </c>
      <c r="BM3" s="60" t="str">
        <f>饰品!A3</f>
        <v>明亮暮光龙鳞(H)</v>
      </c>
      <c r="BN3" s="60" t="str">
        <f>副手!A3</f>
        <v>影丝纺锤(H)</v>
      </c>
      <c r="BO3" s="60" t="str">
        <f>魔杖!A3</f>
        <v>贯体之刺(H)</v>
      </c>
      <c r="BP3" s="59" t="str">
        <f>多彩!A3</f>
        <v>灰烬之天焰钻石</v>
      </c>
      <c r="BQ3" s="59" t="str">
        <f>基础属性!A3</f>
        <v>矮人</v>
      </c>
      <c r="BR3" s="59" t="str">
        <f>石头!A3</f>
        <v>12法术强度10急速</v>
      </c>
      <c r="BS3" s="60" t="str">
        <f>附魔!A3</f>
        <v>63法术强度</v>
      </c>
      <c r="BT3" s="60" t="str">
        <f>附魔!A10</f>
        <v>凶残角斗士秘药</v>
      </c>
      <c r="BU3" s="60" t="str">
        <f>附魔!A17</f>
        <v>强效峭壁铭文</v>
      </c>
      <c r="BV3" s="60" t="str">
        <f>附魔!A24</f>
        <v>23急速</v>
      </c>
      <c r="BW3" s="60" t="str">
        <f>附魔!A32</f>
        <v>15精神</v>
      </c>
      <c r="BX3" s="60" t="str">
        <f>附魔!A38</f>
        <v>18精神</v>
      </c>
      <c r="BY3" s="60" t="str">
        <f>附魔!A44</f>
        <v>50法术强度20耐力</v>
      </c>
      <c r="BZ3" s="60" t="str">
        <f>附魔!A50</f>
        <v>18精神</v>
      </c>
      <c r="CA3" s="60" t="str">
        <f>附魔!A56</f>
        <v>无</v>
      </c>
      <c r="CB3" s="60" t="str">
        <f>附魔!A63</f>
        <v>28法术强度</v>
      </c>
    </row>
    <row r="4" spans="2:80" x14ac:dyDescent="0.15">
      <c r="B4" s="19" t="s">
        <v>538</v>
      </c>
      <c r="C4" s="13" t="s">
        <v>515</v>
      </c>
      <c r="D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61</v>
      </c>
      <c r="E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0</v>
      </c>
      <c r="F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102</v>
      </c>
      <c r="G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53</v>
      </c>
      <c r="H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55</v>
      </c>
      <c r="I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0</v>
      </c>
      <c r="J4" t="str">
        <f>CONCATENATE(IF(VLOOKUP(人物属性设置[[#This Row],[名称]],项链[#All],11,FALSE),CONCATENATE(VLOOKUP(人物属性设置[[#This Row],[名称]],项链[#All],11,FALSE),"红"),""),IF(VLOOKUP(人物属性设置[[#This Row],[名称]],项链[#All],12,FALSE),CONCATENATE(VLOOKUP(人物属性设置[[#This Row],[名称]],项链[#All],12,FALSE),"黄"),""),IF(VLOOKUP(人物属性设置[[#This Row],[名称]],项链[#All],13,FALSE),CONCATENATE(VLOOKUP(人物属性设置[[#This Row],[名称]],项链[#All],13,FALSE),"蓝"),""))</f>
        <v>1黄</v>
      </c>
      <c r="K4" s="13" t="s">
        <v>393</v>
      </c>
      <c r="L4" s="13" t="s">
        <v>389</v>
      </c>
      <c r="M4" s="13" t="s">
        <v>389</v>
      </c>
      <c r="N4" s="17" t="s">
        <v>401</v>
      </c>
      <c r="O4" t="str">
        <f>GemAward(VLOOKUP(人物属性设置[[#This Row],[名称]],项链[#All],11,FALSE),VLOOKUP(人物属性设置[[#This Row],[名称]],项链[#All],12,FALSE),VLOOKUP(人物属性设置[[#This Row],[名称]],项链[#All],13,FALSE),VLOOKUP(人物属性设置[[#This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4" s="55"/>
      <c r="BA4" s="60" t="str">
        <f>武器!$A4</f>
        <v>冰封骨针(H)</v>
      </c>
      <c r="BB4" s="60" t="str">
        <f>头部!A4</f>
        <v>科雷萨仪祭之冠(H)</v>
      </c>
      <c r="BC4" s="60" t="str">
        <f>项链!A4</f>
        <v>默悼护符(H)</v>
      </c>
      <c r="BD4" s="60" t="str">
        <f>肩部!A4</f>
        <v>仁慈杀戮肩甲(H)</v>
      </c>
      <c r="BE4" s="60" t="str">
        <f>披风!A4</f>
        <v>叛变勇士的大氅(H)</v>
      </c>
      <c r="BF4" s="60" t="str">
        <f>胸部!A4</f>
        <v>噩梦乍醒法袍(H)</v>
      </c>
      <c r="BG4" s="60" t="str">
        <f>手腕!A4</f>
        <v>亡语者女士的脆弱护腕(H)</v>
      </c>
      <c r="BH4" s="60" t="str">
        <f>手部!A4</f>
        <v>萨莱因仪祭手套(H)</v>
      </c>
      <c r="BI4" s="60" t="str">
        <f>腰带!A4</f>
        <v>孽障腰带</v>
      </c>
      <c r="BJ4" s="60" t="str">
        <f>腿部!A4</f>
        <v>天灾使者的污斑长裤(H)</v>
      </c>
      <c r="BK4" s="60" t="str">
        <f>脚部!A4</f>
        <v>冰冠尖塔便鞋(H)</v>
      </c>
      <c r="BL4" s="60" t="str">
        <f>手指!A4</f>
        <v>瓦拉纳的备用徽记之戒(H)</v>
      </c>
      <c r="BM4" s="60" t="str">
        <f>饰品!A4</f>
        <v>无名巫妖的护符匣(H)</v>
      </c>
      <c r="BN4" s="60" t="str">
        <f>副手!A4</f>
        <v>天灾领主权杖(H)</v>
      </c>
      <c r="BO4" s="60" t="str">
        <f>魔杖!A4</f>
        <v>兰娜瑟尔的染血之指(H)</v>
      </c>
      <c r="BP4" s="59" t="str">
        <f>多彩!A4</f>
        <v>洞察之大地侵攻钻石</v>
      </c>
      <c r="BQ4" s="59" t="str">
        <f>基础属性!A4</f>
        <v>暗夜精灵</v>
      </c>
      <c r="BR4" s="59" t="str">
        <f>石头!A4</f>
        <v>12法术强度10暴击</v>
      </c>
      <c r="BS4" s="60" t="str">
        <f>附魔!A4</f>
        <v>81法术强度(双手)</v>
      </c>
      <c r="BT4" s="60" t="str">
        <f>附魔!A11</f>
        <v>祝福治愈秘药</v>
      </c>
      <c r="BV4" s="60" t="str">
        <f>附魔!A25</f>
        <v>10精神</v>
      </c>
      <c r="BX4" s="60" t="str">
        <f>附魔!A39</f>
        <v>6属性</v>
      </c>
      <c r="BZ4" s="60" t="str">
        <f>附魔!A51</f>
        <v>12暴击12命中</v>
      </c>
      <c r="CB4" s="60" t="str">
        <f>附魔!A64</f>
        <v>火箭炮</v>
      </c>
    </row>
    <row r="5" spans="2:80" x14ac:dyDescent="0.15">
      <c r="B5" s="19" t="s">
        <v>394</v>
      </c>
      <c r="C5" s="13" t="s">
        <v>516</v>
      </c>
      <c r="D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92</v>
      </c>
      <c r="E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0</v>
      </c>
      <c r="F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173</v>
      </c>
      <c r="G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82</v>
      </c>
      <c r="H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95</v>
      </c>
      <c r="I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0</v>
      </c>
      <c r="J5" t="str">
        <f>CONCATENATE(IF(VLOOKUP(人物属性设置[[#This Row],[名称]],肩部[#All],11,FALSE),CONCATENATE(VLOOKUP(人物属性设置[[#This Row],[名称]],肩部[#All],11,FALSE),"红"),""),IF(VLOOKUP(人物属性设置[[#This Row],[名称]],肩部[#All],12,FALSE),CONCATENATE(VLOOKUP(人物属性设置[[#This Row],[名称]],肩部[#All],12,FALSE),"黄"),""),IF(VLOOKUP(人物属性设置[[#This Row],[名称]],肩部[#All],13,FALSE),CONCATENATE(VLOOKUP(人物属性设置[[#This Row],[名称]],肩部[#All],13,FALSE),"蓝"),""))</f>
        <v>1黄</v>
      </c>
      <c r="K5" s="13" t="s">
        <v>393</v>
      </c>
      <c r="L5" s="13" t="s">
        <v>389</v>
      </c>
      <c r="M5" s="13" t="s">
        <v>389</v>
      </c>
      <c r="N5" s="13" t="s">
        <v>403</v>
      </c>
      <c r="O5" t="str">
        <f>GemAward(VLOOKUP(人物属性设置[[#This Row],[名称]],肩部[#All],11,FALSE),VLOOKUP(人物属性设置[[#This Row],[名称]],肩部[#All],12,FALSE),VLOOKUP(人物属性设置[[#This Row],[名称]],肩部[#All],13,FALSE),VLOOKUP(人物属性设置[[#This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5" s="55"/>
      <c r="BA5" s="60" t="str">
        <f>武器!$A5</f>
        <v>瓦琉斯，圣光使者之锤(H)</v>
      </c>
      <c r="BB5" s="60" t="str">
        <f>头部!A5</f>
        <v xml:space="preserve">神圣血色侍僧头巾 </v>
      </c>
      <c r="BC5" s="60" t="str">
        <f>项链!A5</f>
        <v>冰冠斥候护符(H)</v>
      </c>
      <c r="BD5" s="60" t="str">
        <f>肩部!A5</f>
        <v>神圣血色侍僧衬肩</v>
      </c>
      <c r="BE5" s="60" t="str">
        <f>披风!A5</f>
        <v>诱导之帽(H)</v>
      </c>
      <c r="BF5" s="60" t="str">
        <f>胸部!A5</f>
        <v>血红丝质长袍(H)</v>
      </c>
      <c r="BG5" s="60" t="str">
        <f>手腕!A5</f>
        <v>火夜护腕</v>
      </c>
      <c r="BH5" s="60" t="str">
        <f>手部!A5</f>
        <v>炮艇上尉的护手(H)</v>
      </c>
      <c r="BI5" s="60" t="str">
        <f>腰带!A5</f>
        <v>灼烧束带(H)</v>
      </c>
      <c r="BJ5" s="60" t="str">
        <f>腿部!A5</f>
        <v>神圣血色侍僧长裤</v>
      </c>
      <c r="BK5" s="60" t="str">
        <f>脚部!A5</f>
        <v>天灾科学家长靴</v>
      </c>
      <c r="BL5" s="60" t="str">
        <f>手指!A5</f>
        <v>愈合血环(H)</v>
      </c>
      <c r="BM5" s="60" t="str">
        <f>饰品!A5</f>
        <v>纯血珠饰(H)</v>
      </c>
      <c r="BN5" s="60" t="str">
        <f>副手!A5</f>
        <v>永恒暮色日晷</v>
      </c>
      <c r="BO5" s="60" t="str">
        <f>魔杖!A5</f>
        <v>血红宝石魔杖(H)</v>
      </c>
      <c r="BP5" s="59" t="str">
        <f>多彩!A5</f>
        <v>鼓舞之大地侵攻钻石</v>
      </c>
      <c r="BQ5" s="59" t="str">
        <f>基础属性!A5</f>
        <v>德莱尼</v>
      </c>
      <c r="BR5" s="59" t="str">
        <f>石头!A5</f>
        <v>12法术强度10命中</v>
      </c>
      <c r="BS5" s="60"/>
      <c r="BV5" s="60" t="str">
        <f>附魔!A26</f>
        <v>光纹刺绣</v>
      </c>
      <c r="BX5" s="60"/>
      <c r="CB5" s="60" t="str">
        <f>附魔!A65</f>
        <v>20命中</v>
      </c>
    </row>
    <row r="6" spans="2:80" x14ac:dyDescent="0.15">
      <c r="B6" s="19" t="s">
        <v>539</v>
      </c>
      <c r="C6" s="13" t="s">
        <v>517</v>
      </c>
      <c r="D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69</v>
      </c>
      <c r="E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60</v>
      </c>
      <c r="F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147</v>
      </c>
      <c r="G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52</v>
      </c>
      <c r="H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0</v>
      </c>
      <c r="I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0</v>
      </c>
      <c r="J6" t="str">
        <f>CONCATENATE(IF(VLOOKUP(人物属性设置[[#This Row],[名称]],披风[#All],11,FALSE),CONCATENATE(VLOOKUP(人物属性设置[[#This Row],[名称]],披风[#All],11,FALSE),"红"),""),IF(VLOOKUP(人物属性设置[[#This Row],[名称]],披风[#All],12,FALSE),CONCATENATE(VLOOKUP(人物属性设置[[#This Row],[名称]],披风[#All],12,FALSE),"黄"),""),IF(VLOOKUP(人物属性设置[[#This Row],[名称]],披风[#All],13,FALSE),CONCATENATE(VLOOKUP(人物属性设置[[#This Row],[名称]],披风[#All],13,FALSE),"蓝"),""))</f>
        <v>1蓝</v>
      </c>
      <c r="K6" s="13" t="s">
        <v>370</v>
      </c>
      <c r="L6" s="13" t="s">
        <v>389</v>
      </c>
      <c r="M6" s="13" t="s">
        <v>389</v>
      </c>
      <c r="N6" s="13" t="s">
        <v>654</v>
      </c>
      <c r="O6" t="str">
        <f>GemAward(VLOOKUP(人物属性设置[[#This Row],[名称]],披风[#All],11,FALSE),VLOOKUP(人物属性设置[[#This Row],[名称]],披风[#All],12,FALSE),VLOOKUP(人物属性设置[[#This Row],[名称]],披风[#All],13,FALSE),VLOOKUP(人物属性设置[[#This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6" s="55" t="str">
        <f>IF(VLOOKUP(人物属性设置[[#This Row],[附魔]],披风附魔[#All],2,FALSE)&lt;&gt;"",VLOOKUP(人物属性设置[[#This Row],[附魔]],披风附魔[#All],2,FALSE),"")</f>
        <v/>
      </c>
      <c r="BA6" s="60" t="str">
        <f>武器!$A6</f>
        <v>泰瑞纳斯二世的皇家权杖</v>
      </c>
      <c r="BB6" s="60" t="str">
        <f>头部!A6</f>
        <v>神圣血色侍僧罩帽</v>
      </c>
      <c r="BC6" s="60" t="str">
        <f>项链!A6</f>
        <v>血脉分离垂饰(H)</v>
      </c>
      <c r="BD6" s="60" t="str">
        <f>肩部!A6</f>
        <v>神圣血色侍僧肩垫</v>
      </c>
      <c r="BE6" s="60" t="str">
        <f>披风!A6</f>
        <v>暮色蒸腾披风</v>
      </c>
      <c r="BF6" s="60" t="str">
        <f>胸部!A6</f>
        <v>神圣血色侍僧罩袍</v>
      </c>
      <c r="BG6" s="60" t="str">
        <f>手腕!A6</f>
        <v>药浸护腕(H)</v>
      </c>
      <c r="BH6" s="60" t="str">
        <f>手部!A6</f>
        <v>神圣血色侍僧裹手</v>
      </c>
      <c r="BI6" s="60" t="str">
        <f>腰带!A6</f>
        <v>恩医束带(H)</v>
      </c>
      <c r="BJ6" s="60" t="str">
        <f>腿部!A6</f>
        <v>神圣血色侍僧护腿</v>
      </c>
      <c r="BK6" s="60" t="str">
        <f>脚部!A6</f>
        <v>亡霜布履</v>
      </c>
      <c r="BL6" s="60" t="str">
        <f>手指!A6</f>
        <v>飞升之戒(H)</v>
      </c>
      <c r="BM6" s="60" t="str">
        <f>饰品!A6</f>
        <v>被摘除的外物(H)</v>
      </c>
      <c r="BN6" s="60" t="str">
        <f>副手!A6</f>
        <v>影丝纺锤</v>
      </c>
      <c r="BO6" s="60" t="str">
        <f>魔杖!A6</f>
        <v>梦魇终结者</v>
      </c>
      <c r="BP6" s="59" t="str">
        <f>多彩!A6</f>
        <v>混乱之天焰钻石</v>
      </c>
      <c r="BQ6" s="59" t="str">
        <f>基础属性!A6</f>
        <v>巨魔</v>
      </c>
      <c r="BR6" s="59" t="str">
        <f>石头!A6</f>
        <v>12法术强度10智力</v>
      </c>
      <c r="CB6" s="60"/>
    </row>
    <row r="7" spans="2:80" x14ac:dyDescent="0.15">
      <c r="B7" s="19" t="s">
        <v>238</v>
      </c>
      <c r="C7" s="13" t="s">
        <v>518</v>
      </c>
      <c r="D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133</v>
      </c>
      <c r="E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10</v>
      </c>
      <c r="F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213</v>
      </c>
      <c r="G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110</v>
      </c>
      <c r="H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100</v>
      </c>
      <c r="I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0</v>
      </c>
      <c r="J7" t="str">
        <f>CONCATENATE(IF(VLOOKUP(人物属性设置[[#This Row],[名称]],胸部[#All],11,FALSE),CONCATENATE(VLOOKUP(人物属性设置[[#This Row],[名称]],胸部[#All],11,FALSE),"红"),""),IF(VLOOKUP(人物属性设置[[#This Row],[名称]],胸部[#All],12,FALSE),CONCATENATE(VLOOKUP(人物属性设置[[#This Row],[名称]],胸部[#All],12,FALSE),"黄"),""),IF(VLOOKUP(人物属性设置[[#This Row],[名称]],胸部[#All],13,FALSE),CONCATENATE(VLOOKUP(人物属性设置[[#This Row],[名称]],胸部[#All],13,FALSE),"蓝"),""))</f>
        <v>1红1黄</v>
      </c>
      <c r="K7" s="13" t="s">
        <v>370</v>
      </c>
      <c r="L7" s="13" t="s">
        <v>393</v>
      </c>
      <c r="M7" s="13" t="s">
        <v>389</v>
      </c>
      <c r="N7" s="13" t="s">
        <v>413</v>
      </c>
      <c r="O7" t="str">
        <f>GemAward(VLOOKUP(人物属性设置[[#This Row],[名称]],胸部[#All],11,FALSE),VLOOKUP(人物属性设置[[#This Row],[名称]],胸部[#All],12,FALSE),VLOOKUP(人物属性设置[[#This Row],[名称]],胸部[#All],13,FALSE),VLOOKUP(人物属性设置[[#This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7" s="55"/>
      <c r="BA7" s="60" t="str">
        <f>武器!$A7</f>
        <v>泰尔萨斯，鲜血之王的匕首(H)</v>
      </c>
      <c r="BB7" s="60" t="str">
        <f>头部!A7</f>
        <v>煞星沉眠法冠(H)</v>
      </c>
      <c r="BC7" s="60" t="str">
        <f>项链!A7</f>
        <v>秽珠项圈(H)</v>
      </c>
      <c r="BD7" s="60" t="str">
        <f>肩部!A7</f>
        <v>迟暮肩甲(H)</v>
      </c>
      <c r="BE7" s="60" t="str">
        <f>披风!A7</f>
        <v>巫妖裹布(H)</v>
      </c>
      <c r="BF7" s="60" t="str">
        <f>胸部!A7</f>
        <v>神圣血色侍僧法袍</v>
      </c>
      <c r="BG7" s="60" t="str">
        <f>手腕!A7</f>
        <v>黑暗祝福护腕(H)</v>
      </c>
      <c r="BH7" s="60" t="str">
        <f>手部!A7</f>
        <v>神圣血色侍僧手套</v>
      </c>
      <c r="BI7" s="60" t="str">
        <f>腰带!A7</f>
        <v>顽疾束带</v>
      </c>
      <c r="BJ7" s="60" t="str">
        <f>腿部!A7</f>
        <v>心灵映射护腿(H)</v>
      </c>
      <c r="BK7" s="60" t="str">
        <f>脚部!A7</f>
        <v>仪祭软鞋</v>
      </c>
      <c r="BL7" s="60" t="str">
        <f>手指!A7</f>
        <v>狂语之戒(H)</v>
      </c>
      <c r="BM7" s="60" t="str">
        <f>饰品!A7</f>
        <v>阿尔索的算盘(H)</v>
      </c>
      <c r="BN7" s="60" t="str">
        <f>副手!A7</f>
        <v>天灾领主权杖</v>
      </c>
      <c r="BO7" s="60" t="str">
        <f>魔杖!A7</f>
        <v>贯体之刺</v>
      </c>
      <c r="BQ7" s="59" t="str">
        <f>基础属性!A7</f>
        <v>亡灵</v>
      </c>
      <c r="BR7" s="59" t="str">
        <f>石头!A7</f>
        <v>20急速</v>
      </c>
      <c r="CB7" s="60"/>
    </row>
    <row r="8" spans="2:80" x14ac:dyDescent="0.15">
      <c r="B8" s="19" t="s">
        <v>239</v>
      </c>
      <c r="C8" s="13" t="s">
        <v>257</v>
      </c>
      <c r="D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69</v>
      </c>
      <c r="E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0</v>
      </c>
      <c r="F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132</v>
      </c>
      <c r="G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0</v>
      </c>
      <c r="H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65</v>
      </c>
      <c r="I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65</v>
      </c>
      <c r="J8" t="str">
        <f>CONCATENATE(IF(VLOOKUP(人物属性设置[[#This Row],[名称]],手腕[#All],11,FALSE),CONCATENATE(VLOOKUP(人物属性设置[[#This Row],[名称]],手腕[#All],11,FALSE),"红"),""),IF(VLOOKUP(人物属性设置[[#This Row],[名称]],手腕[#All],12,FALSE),CONCATENATE(VLOOKUP(人物属性设置[[#This Row],[名称]],手腕[#All],12,FALSE),"黄"),""),IF(VLOOKUP(人物属性设置[[#This Row],[名称]],手腕[#All],13,FALSE),CONCATENATE(VLOOKUP(人物属性设置[[#This Row],[名称]],手腕[#All],13,FALSE),"蓝"),""))</f>
        <v>1黄</v>
      </c>
      <c r="K8" s="13" t="s">
        <v>423</v>
      </c>
      <c r="L8" s="13" t="s">
        <v>389</v>
      </c>
      <c r="M8" s="13" t="s">
        <v>389</v>
      </c>
      <c r="N8" s="13" t="s">
        <v>416</v>
      </c>
      <c r="O8" t="str">
        <f>GemAward(VLOOKUP(人物属性设置[[#This Row],[名称]],手腕[#All],11,FALSE),VLOOKUP(人物属性设置[[#This Row],[名称]],手腕[#All],12,FALSE),VLOOKUP(人物属性设置[[#This Row],[名称]],手腕[#All],13,FALSE),VLOOKUP(人物属性设置[[#This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8" s="55"/>
      <c r="BA8" s="60" t="str">
        <f>武器!$A8</f>
        <v>考达拉寒风匕首(H)</v>
      </c>
      <c r="BB8" s="60" t="str">
        <f>头部!A8</f>
        <v>魔术师的龟裂兜帽(H)</v>
      </c>
      <c r="BC8" s="60" t="str">
        <f>项链!A8</f>
        <v>斩魂垂饰(H)</v>
      </c>
      <c r="BD8" s="60" t="str">
        <f>肩部!A8</f>
        <v>浸血的医师护肩(H)</v>
      </c>
      <c r="BE8" s="60" t="str">
        <f>披风!A8</f>
        <v>悲痛抚平者斗篷(H)</v>
      </c>
      <c r="BF8" s="60" t="str">
        <f>胸部!A8</f>
        <v>碧空流落法袍(H)</v>
      </c>
      <c r="BG8" s="60" t="str">
        <f>手腕!A8</f>
        <v>死亡医师的袖腕</v>
      </c>
      <c r="BH8" s="60" t="str">
        <f>手部!A8</f>
        <v>断指手套(H)</v>
      </c>
      <c r="BI8" s="60" t="str">
        <f>腰带!A8</f>
        <v>破碎冷魂腰带</v>
      </c>
      <c r="BJ8" s="60" t="str">
        <f>腿部!A8</f>
        <v>新伤褶裙(H)</v>
      </c>
      <c r="BK8" s="60" t="str">
        <f>脚部!A8</f>
        <v>白凶长靴</v>
      </c>
      <c r="BL8" s="60" t="str">
        <f>手指!A8</f>
        <v>玛洛加尔的寒冰之瞳(H)</v>
      </c>
      <c r="BM8" s="60" t="str">
        <f>饰品!A8</f>
        <v>焦黑暮光龙鳞</v>
      </c>
      <c r="BN8" s="60" t="str">
        <f>副手!A8</f>
        <v>暴怒角斗士的缓刑</v>
      </c>
      <c r="BO8" s="60" t="str">
        <f>魔杖!A8</f>
        <v>兰娜瑟尔的染血之指</v>
      </c>
      <c r="BQ8" s="59" t="str">
        <f>基础属性!A8</f>
        <v>血精灵</v>
      </c>
      <c r="BR8" s="59" t="str">
        <f>石头!A8</f>
        <v>20暴击</v>
      </c>
      <c r="CB8" s="60"/>
    </row>
    <row r="9" spans="2:80" x14ac:dyDescent="0.15">
      <c r="B9" s="19" t="s">
        <v>240</v>
      </c>
      <c r="C9" s="13" t="s">
        <v>519</v>
      </c>
      <c r="D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92</v>
      </c>
      <c r="E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10</v>
      </c>
      <c r="F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149</v>
      </c>
      <c r="G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0</v>
      </c>
      <c r="H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80</v>
      </c>
      <c r="I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72</v>
      </c>
      <c r="J9" t="str">
        <f>CONCATENATE(IF(VLOOKUP(人物属性设置[[#This Row],[名称]],手部[#All],11,FALSE),CONCATENATE(VLOOKUP(人物属性设置[[#This Row],[名称]],手部[#All],11,FALSE),"红"),""),IF(VLOOKUP(人物属性设置[[#This Row],[名称]],手部[#All],12,FALSE),CONCATENATE(VLOOKUP(人物属性设置[[#This Row],[名称]],手部[#All],12,FALSE),"黄"),""),IF(VLOOKUP(人物属性设置[[#This Row],[名称]],手部[#All],13,FALSE),CONCATENATE(VLOOKUP(人物属性设置[[#This Row],[名称]],手部[#All],13,FALSE),"蓝"),""))</f>
        <v>1蓝</v>
      </c>
      <c r="K9" s="13" t="s">
        <v>378</v>
      </c>
      <c r="L9" s="13" t="s">
        <v>389</v>
      </c>
      <c r="M9" s="13" t="s">
        <v>389</v>
      </c>
      <c r="N9" s="13" t="s">
        <v>540</v>
      </c>
      <c r="O9" t="str">
        <f>GemAward(VLOOKUP(人物属性设置[[#This Row],[名称]],手部[#All],11,FALSE),VLOOKUP(人物属性设置[[#This Row],[名称]],手部[#All],12,FALSE),VLOOKUP(人物属性设置[[#This Row],[名称]],手部[#All],13,FALSE),VLOOKUP(人物属性设置[[#This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9" s="55" t="str">
        <f>IF(VLOOKUP(人物属性设置[[#This Row],[附魔]],手部附魔[#All],2,FALSE)&lt;&gt;"",VLOOKUP(人物属性设置[[#This Row],[附魔]],手部附魔[#All],2,FALSE),"")</f>
        <v>HyperSpeedAcc</v>
      </c>
      <c r="BA9" s="60" t="str">
        <f>武器!$A9</f>
        <v>感染之伤(H)</v>
      </c>
      <c r="BB9" s="60" t="str">
        <f>头部!A9</f>
        <v>科雷萨仪祭之冠</v>
      </c>
      <c r="BC9" s="60" t="str">
        <f>项链!A9</f>
        <v>鲜血皇后的殷红项圈</v>
      </c>
      <c r="BD9" s="60" t="str">
        <f>肩部!A9</f>
        <v>仁慈杀戮肩甲</v>
      </c>
      <c r="BE9" s="60" t="str">
        <f>披风!A9</f>
        <v>霜缚者的残破斗篷</v>
      </c>
      <c r="BF9" s="60" t="str">
        <f>胸部!A9</f>
        <v>血魂法衣(H)</v>
      </c>
      <c r="BG9" s="60" t="str">
        <f>手腕!A9</f>
        <v>亡语者女士的脆弱护腕</v>
      </c>
      <c r="BH9" s="60" t="str">
        <f>手部!A9</f>
        <v>女武神护手(H)</v>
      </c>
      <c r="BI9" s="60" t="str">
        <f>腰带!A9</f>
        <v>渎职腰带</v>
      </c>
      <c r="BJ9" s="60" t="str">
        <f>腿部!A9</f>
        <v>天灾使者的污斑长裤</v>
      </c>
      <c r="BK9" s="60" t="str">
        <f>脚部!A9</f>
        <v>冰冠尖塔便鞋</v>
      </c>
      <c r="BL9" s="60" t="str">
        <f>手指!A9</f>
        <v>无尽迷宫指环(H)</v>
      </c>
      <c r="BM9" s="60" t="str">
        <f>饰品!A9</f>
        <v>明亮暮光龙鳞</v>
      </c>
      <c r="BN9" s="60" t="str">
        <f>副手!A9</f>
        <v>暴怒角斗士的纲要宝典</v>
      </c>
      <c r="BO9" s="60" t="str">
        <f>魔杖!A9</f>
        <v>血红宝石魔杖</v>
      </c>
      <c r="BR9" s="59" t="str">
        <f>石头!A9</f>
        <v>20命中</v>
      </c>
      <c r="CB9" s="60"/>
    </row>
    <row r="10" spans="2:80" x14ac:dyDescent="0.15">
      <c r="B10" s="19" t="s">
        <v>241</v>
      </c>
      <c r="C10" s="13" t="s">
        <v>520</v>
      </c>
      <c r="D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92</v>
      </c>
      <c r="E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10</v>
      </c>
      <c r="F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187</v>
      </c>
      <c r="G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80</v>
      </c>
      <c r="H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64</v>
      </c>
      <c r="I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0</v>
      </c>
      <c r="J10" t="str">
        <f>CONCATENATE(IF(VLOOKUP(人物属性设置[[#This Row],[名称]],腰带[#All],11,FALSE),CONCATENATE(VLOOKUP(人物属性设置[[#This Row],[名称]],腰带[#All],11,FALSE),"红"),""),IF(VLOOKUP(人物属性设置[[#This Row],[名称]],腰带[#All],12,FALSE),CONCATENATE(VLOOKUP(人物属性设置[[#This Row],[名称]],腰带[#All],12,FALSE),"黄"),""),IF(VLOOKUP(人物属性设置[[#This Row],[名称]],腰带[#All],13,FALSE),CONCATENATE(VLOOKUP(人物属性设置[[#This Row],[名称]],腰带[#All],13,FALSE),"蓝"),""))</f>
        <v>1红1蓝</v>
      </c>
      <c r="K10" s="13" t="s">
        <v>370</v>
      </c>
      <c r="L10" s="13" t="s">
        <v>378</v>
      </c>
      <c r="M10" s="13" t="s">
        <v>370</v>
      </c>
      <c r="N10" s="17" t="s">
        <v>401</v>
      </c>
      <c r="O10" t="str">
        <f>GemAward(VLOOKUP(人物属性设置[[#This Row],[名称]],腰带[#All],11,FALSE),VLOOKUP(人物属性设置[[#This Row],[名称]],腰带[#All],12,FALSE),VLOOKUP(人物属性设置[[#This Row],[名称]],腰带[#All],13,FALSE),VLOOKUP(人物属性设置[[#This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0" s="55"/>
      <c r="BA10" s="60" t="str">
        <f>武器!$A10</f>
        <v>午夜之阳(H)</v>
      </c>
      <c r="BB10" s="60" t="str">
        <f>头部!A10</f>
        <v>血色侍僧头巾</v>
      </c>
      <c r="BC10" s="60" t="str">
        <f>项链!A10</f>
        <v>圣日的恩泽</v>
      </c>
      <c r="BD10" s="60" t="str">
        <f>肩部!A10</f>
        <v>血色侍僧衬肩</v>
      </c>
      <c r="BE10" s="60" t="str">
        <f>披风!A10</f>
        <v>叛变勇士的大氅</v>
      </c>
      <c r="BF10" s="60" t="str">
        <f>胸部!A10</f>
        <v>噩梦乍醒法袍</v>
      </c>
      <c r="BG10" s="60" t="str">
        <f>手腕!A10</f>
        <v>药浸护腕</v>
      </c>
      <c r="BH10" s="60" t="str">
        <f>手部!A10</f>
        <v>萨莱因仪祭手套</v>
      </c>
      <c r="BI10" s="60" t="str">
        <f>腰带!A10</f>
        <v>欧塞斯教派束环</v>
      </c>
      <c r="BJ10" s="60" t="str">
        <f>腿部!A10</f>
        <v>死亡编织护腿</v>
      </c>
      <c r="BK10" s="60" t="str">
        <f>脚部!A10</f>
        <v>孀妇长靴(H)</v>
      </c>
      <c r="BL10" s="60" t="str">
        <f>手指!A10</f>
        <v>永恒毁灭之灰烬指环*</v>
      </c>
      <c r="BM10" s="60" t="str">
        <f>饰品!A10</f>
        <v>穆拉丁的望远镜(H)</v>
      </c>
      <c r="BN10" s="60" t="str">
        <f>副手!A10</f>
        <v>暴怒角斗士的决战</v>
      </c>
      <c r="BO10" s="60" t="str">
        <f>魔杖!A10</f>
        <v>硫磺燃杖</v>
      </c>
      <c r="BR10" s="59" t="str">
        <f>石头!A10</f>
        <v>12法术强度10精神</v>
      </c>
      <c r="CB10" s="60"/>
    </row>
    <row r="11" spans="2:80" x14ac:dyDescent="0.15">
      <c r="B11" s="19" t="s">
        <v>242</v>
      </c>
      <c r="C11" s="13" t="s">
        <v>442</v>
      </c>
      <c r="D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123</v>
      </c>
      <c r="E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30</v>
      </c>
      <c r="F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268</v>
      </c>
      <c r="G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108</v>
      </c>
      <c r="H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84</v>
      </c>
      <c r="I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10</v>
      </c>
      <c r="J11" t="str">
        <f>CONCATENATE(IF(VLOOKUP(人物属性设置[[#This Row],[名称]],腿部[#All],11,FALSE),CONCATENATE(VLOOKUP(人物属性设置[[#This Row],[名称]],腿部[#All],11,FALSE),"红"),""),IF(VLOOKUP(人物属性设置[[#This Row],[名称]],腿部[#All],12,FALSE),CONCATENATE(VLOOKUP(人物属性设置[[#This Row],[名称]],腿部[#All],12,FALSE),"黄"),""),IF(VLOOKUP(人物属性设置[[#This Row],[名称]],腿部[#All],13,FALSE),CONCATENATE(VLOOKUP(人物属性设置[[#This Row],[名称]],腿部[#All],13,FALSE),"蓝"),""))</f>
        <v>1红1黄1蓝</v>
      </c>
      <c r="K11" s="13" t="s">
        <v>521</v>
      </c>
      <c r="L11" s="13" t="s">
        <v>378</v>
      </c>
      <c r="M11" s="13" t="s">
        <v>370</v>
      </c>
      <c r="N11" s="13" t="s">
        <v>426</v>
      </c>
      <c r="O11" t="str">
        <f>GemAward(VLOOKUP(人物属性设置[[#This Row],[名称]],腿部[#All],11,FALSE),VLOOKUP(人物属性设置[[#This Row],[名称]],腿部[#All],12,FALSE),VLOOKUP(人物属性设置[[#This Row],[名称]],腿部[#All],13,FALSE),VLOOKUP(人物属性设置[[#This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1" s="55"/>
      <c r="BA11" s="60" t="str">
        <f>武器!$A11</f>
        <v>创伤</v>
      </c>
      <c r="BB11" s="60" t="str">
        <f>头部!A11</f>
        <v xml:space="preserve">血色侍僧罩帽 </v>
      </c>
      <c r="BC11" s="60" t="str">
        <f>项链!A11</f>
        <v>默悼护符</v>
      </c>
      <c r="BD11" s="60" t="str">
        <f>肩部!A11</f>
        <v>血色侍僧肩垫</v>
      </c>
      <c r="BE11" s="60" t="str">
        <f>披风!A11</f>
        <v>紫罗兰之塔披风</v>
      </c>
      <c r="BF11" s="60" t="str">
        <f>胸部!A11</f>
        <v>血红丝质长袍</v>
      </c>
      <c r="BG11" s="60" t="str">
        <f>手腕!A11</f>
        <v>黑暗祝福护腕</v>
      </c>
      <c r="BH11" s="60" t="str">
        <f>手部!A11</f>
        <v>炮艇上尉的护手</v>
      </c>
      <c r="BI11" s="60" t="str">
        <f>腰带!A11</f>
        <v>孽障腰带</v>
      </c>
      <c r="BJ11" s="60" t="str">
        <f>腿部!A11</f>
        <v>光纹护腿</v>
      </c>
      <c r="BK11" s="60" t="str">
        <f>脚部!A11</f>
        <v>浮冰软鞋(H)</v>
      </c>
      <c r="BL11" s="60" t="str">
        <f>手指!A11</f>
        <v>永恒智慧之灰烬指环*</v>
      </c>
      <c r="BM11" s="60" t="str">
        <f>饰品!A11</f>
        <v>纯冰薄片(H)</v>
      </c>
      <c r="BN11" s="60" t="str">
        <f>副手!A11</f>
        <v>侵越之印(H)</v>
      </c>
      <c r="BO11" s="60" t="str">
        <f>魔杖!A11</f>
        <v>暴怒角斗士的光明法杖</v>
      </c>
      <c r="BR11" s="59" t="str">
        <f>石头!A11</f>
        <v>20精神</v>
      </c>
    </row>
    <row r="12" spans="2:80" x14ac:dyDescent="0.15">
      <c r="B12" s="19" t="s">
        <v>243</v>
      </c>
      <c r="C12" s="13" t="s">
        <v>579</v>
      </c>
      <c r="D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86</v>
      </c>
      <c r="E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86</v>
      </c>
      <c r="F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166</v>
      </c>
      <c r="G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68</v>
      </c>
      <c r="H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24</v>
      </c>
      <c r="I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0</v>
      </c>
      <c r="J12" t="str">
        <f>CONCATENATE(IF(VLOOKUP(人物属性设置[[#This Row],[名称]],脚部[#All],11,FALSE),CONCATENATE(VLOOKUP(人物属性设置[[#This Row],[名称]],脚部[#All],11,FALSE),"红"),""),IF(VLOOKUP(人物属性设置[[#This Row],[名称]],脚部[#All],12,FALSE),CONCATENATE(VLOOKUP(人物属性设置[[#This Row],[名称]],脚部[#All],12,FALSE),"黄"),""),IF(VLOOKUP(人物属性设置[[#This Row],[名称]],脚部[#All],13,FALSE),CONCATENATE(VLOOKUP(人物属性设置[[#This Row],[名称]],脚部[#All],13,FALSE),"蓝"),""))</f>
        <v>1红1蓝</v>
      </c>
      <c r="K12" s="13" t="s">
        <v>370</v>
      </c>
      <c r="L12" s="13" t="s">
        <v>378</v>
      </c>
      <c r="M12" s="13" t="s">
        <v>389</v>
      </c>
      <c r="N12" s="13" t="s">
        <v>429</v>
      </c>
      <c r="O12" t="str">
        <f>GemAward(VLOOKUP(人物属性设置[[#This Row],[名称]],脚部[#All],11,FALSE),VLOOKUP(人物属性设置[[#This Row],[名称]],脚部[#All],12,FALSE),VLOOKUP(人物属性设置[[#This Row],[名称]],脚部[#All],13,FALSE),VLOOKUP(人物属性设置[[#This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2" s="55"/>
      <c r="BA12" s="60" t="str">
        <f>武器!$A12</f>
        <v>冰封骨针</v>
      </c>
      <c r="BB12" s="60" t="str">
        <f>头部!A12</f>
        <v>煞星沉眠法冠</v>
      </c>
      <c r="BC12" s="60" t="str">
        <f>项链!A12</f>
        <v>冰冠斥候护符</v>
      </c>
      <c r="BD12" s="60" t="str">
        <f>肩部!A12</f>
        <v>迟暮肩甲</v>
      </c>
      <c r="BE12" s="60" t="str">
        <f>披风!A12</f>
        <v>夜空斗篷</v>
      </c>
      <c r="BF12" s="60" t="str">
        <f>胸部!A12</f>
        <v>逐星者外衣</v>
      </c>
      <c r="BG12" s="60" t="str">
        <f>手腕!A12</f>
        <v>黑暗精粹护腕(H)</v>
      </c>
      <c r="BH12" s="60" t="str">
        <f>手部!A12</f>
        <v>假意手套</v>
      </c>
      <c r="BI12" s="60" t="str">
        <f>腰带!A12</f>
        <v>灼烧束带</v>
      </c>
      <c r="BJ12" s="60" t="str">
        <f>腿部!A12</f>
        <v>血色侍僧长裤</v>
      </c>
      <c r="BK12" s="60" t="str">
        <f>脚部!A12</f>
        <v>暴怒角斗士的活跃便鞋</v>
      </c>
      <c r="BL12" s="60" t="str">
        <f>手指!A12</f>
        <v>塞维娅娜的贡品(H)</v>
      </c>
      <c r="BM12" s="60" t="str">
        <f>饰品!A12</f>
        <v>无名巫妖的护符匣</v>
      </c>
      <c r="BN12" s="60" t="str">
        <f>副手!A12</f>
        <v>炽光圣杯(H)</v>
      </c>
      <c r="BO12" s="60" t="str">
        <f>魔杖!A12</f>
        <v>暴怒角斗士的穿刺之触</v>
      </c>
      <c r="BR12" s="59" t="str">
        <f>石头!A12</f>
        <v>无</v>
      </c>
    </row>
    <row r="13" spans="2:80" x14ac:dyDescent="0.15">
      <c r="B13" s="19" t="s">
        <v>258</v>
      </c>
      <c r="C13" s="13" t="s">
        <v>443</v>
      </c>
      <c r="D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73</v>
      </c>
      <c r="E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F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141</v>
      </c>
      <c r="G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74</v>
      </c>
      <c r="H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I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51</v>
      </c>
      <c r="J13" t="str">
        <f>CONCATENATE(IF(VLOOKUP(人物属性设置[[#This Row],[名称]],手指[#All],11,FALSE),CONCATENATE(VLOOKUP(人物属性设置[[#This Row],[名称]],手指[#All],11,FALSE),"红"),""),IF(VLOOKUP(人物属性设置[[#This Row],[名称]],手指[#All],12,FALSE),CONCATENATE(VLOOKUP(人物属性设置[[#This Row],[名称]],手指[#All],12,FALSE),"黄"),""),IF(VLOOKUP(人物属性设置[[#This Row],[名称]],手指[#All],13,FALSE),CONCATENATE(VLOOKUP(人物属性设置[[#This Row],[名称]],手指[#All],13,FALSE),"蓝"),""))</f>
        <v>1黄</v>
      </c>
      <c r="K13" s="13" t="s">
        <v>393</v>
      </c>
      <c r="L13" s="13" t="s">
        <v>389</v>
      </c>
      <c r="M13" s="13" t="s">
        <v>389</v>
      </c>
      <c r="N13" s="13" t="s">
        <v>370</v>
      </c>
      <c r="O13" t="str">
        <f>GemAward(VLOOKUP(人物属性设置[[#This Row],[名称]],手指[#All],11,FALSE),VLOOKUP(人物属性设置[[#This Row],[名称]],手指[#All],12,FALSE),VLOOKUP(人物属性设置[[#This Row],[名称]],手指[#All],13,FALSE),VLOOKUP(人物属性设置[[#This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3" s="55" t="str">
        <f>IF(VLOOKUP(人物属性设置[[#This Row],[名称]],手指[#All],17,FALSE) &lt;&gt; "",VLOOKUP(人物属性设置[[#This Row],[名称]],手指[#All],18,FALSE),"")</f>
        <v>AshenBand</v>
      </c>
      <c r="BA13" s="60" t="str">
        <f>武器!$A13</f>
        <v>泰尔萨斯，鲜血之王的匕首</v>
      </c>
      <c r="BB13" s="60" t="str">
        <f>头部!A13</f>
        <v>魔术师的龟裂兜帽</v>
      </c>
      <c r="BC13" s="60" t="str">
        <f>项链!A13</f>
        <v>血脉分离垂饰</v>
      </c>
      <c r="BD13" s="60" t="str">
        <f>肩部!A13</f>
        <v>浸血的医师护肩</v>
      </c>
      <c r="BE13" s="60" t="str">
        <f>披风!A13</f>
        <v>诱导之帽</v>
      </c>
      <c r="BF13" s="60" t="str">
        <f>胸部!A13</f>
        <v>权晋礼袍</v>
      </c>
      <c r="BG13" s="60" t="str">
        <f>手腕!A13</f>
        <v>苍白圣徒腕甲(H)</v>
      </c>
      <c r="BH13" s="60" t="str">
        <f>手部!A13</f>
        <v>矛盾手套</v>
      </c>
      <c r="BI13" s="60" t="str">
        <f>腰带!A13</f>
        <v>恩医束带</v>
      </c>
      <c r="BJ13" s="60" t="str">
        <f>腿部!A13</f>
        <v>血色侍僧护腿</v>
      </c>
      <c r="BK13" s="60" t="str">
        <f>脚部!A13</f>
        <v>银色大法师便鞋(H)</v>
      </c>
      <c r="BL13" s="60" t="str">
        <f>手指!A13</f>
        <v>定向恢复之戒</v>
      </c>
      <c r="BM13" s="60" t="str">
        <f>饰品!A13</f>
        <v>纯血珠饰</v>
      </c>
      <c r="BN13" s="60" t="str">
        <f>副手!A13</f>
        <v>侵越之印</v>
      </c>
      <c r="BO13" s="60" t="str">
        <f>魔杖!A13</f>
        <v>暴怒角斗士的活跃手杖</v>
      </c>
      <c r="BR13" s="59" t="str">
        <f>石头!A13</f>
        <v>39法术强度</v>
      </c>
    </row>
    <row r="14" spans="2:80" x14ac:dyDescent="0.15">
      <c r="B14" s="19" t="s">
        <v>259</v>
      </c>
      <c r="C14" s="58" t="s">
        <v>590</v>
      </c>
      <c r="D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78</v>
      </c>
      <c r="E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F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156</v>
      </c>
      <c r="G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60</v>
      </c>
      <c r="H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68</v>
      </c>
      <c r="I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J14" t="str">
        <f>CONCATENATE(IF(VLOOKUP(人物属性设置[[#This Row],[名称]],手指[#All],11,FALSE),CONCATENATE(VLOOKUP(人物属性设置[[#This Row],[名称]],手指[#All],11,FALSE),"红"),""),IF(VLOOKUP(人物属性设置[[#This Row],[名称]],手指[#All],12,FALSE),CONCATENATE(VLOOKUP(人物属性设置[[#This Row],[名称]],手指[#All],12,FALSE),"黄"),""),IF(VLOOKUP(人物属性设置[[#This Row],[名称]],手指[#All],13,FALSE),CONCATENATE(VLOOKUP(人物属性设置[[#This Row],[名称]],手指[#All],13,FALSE),"蓝"),""))</f>
        <v>1蓝</v>
      </c>
      <c r="K14" s="13" t="s">
        <v>370</v>
      </c>
      <c r="L14" s="13" t="s">
        <v>389</v>
      </c>
      <c r="M14" s="13" t="s">
        <v>389</v>
      </c>
      <c r="N14" s="58" t="s">
        <v>370</v>
      </c>
      <c r="O14" t="str">
        <f>GemAward(VLOOKUP(人物属性设置[[#This Row],[名称]],手指[#All],11,FALSE),VLOOKUP(人物属性设置[[#This Row],[名称]],手指[#All],12,FALSE),VLOOKUP(人物属性设置[[#This Row],[名称]],手指[#All],13,FALSE),VLOOKUP(人物属性设置[[#This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14" s="55" t="str">
        <f>IF(VLOOKUP(人物属性设置[[#This Row],[名称]],手指[#All],18,FALSE) &lt;&gt; "",VLOOKUP(人物属性设置[[#This Row],[名称]],手指[#All],18,FALSE),"")</f>
        <v/>
      </c>
      <c r="BA14" s="60" t="str">
        <f>武器!$A14</f>
        <v>瓦琉斯，圣光使者之锤</v>
      </c>
      <c r="BB14" s="60" t="str">
        <f>头部!A14</f>
        <v>暴怒角斗士的绸缎软帽</v>
      </c>
      <c r="BC14" s="60" t="str">
        <f>项链!A14</f>
        <v>秽珠项圈</v>
      </c>
      <c r="BD14" s="60" t="str">
        <f>肩部!A14</f>
        <v>暴怒角斗士的绸缎衬肩</v>
      </c>
      <c r="BE14" s="60" t="str">
        <f>披风!A14</f>
        <v>巫妖裹布</v>
      </c>
      <c r="BF14" s="60" t="str">
        <f>胸部!A14</f>
        <v>血色侍僧罩袍</v>
      </c>
      <c r="BG14" s="60" t="str">
        <f>手腕!A14</f>
        <v>苍白圣徒腕甲</v>
      </c>
      <c r="BH14" s="60" t="str">
        <f>手部!A14</f>
        <v>血色侍僧裹手</v>
      </c>
      <c r="BI14" s="60" t="str">
        <f>腰带!A14</f>
        <v>凛冬束带(H)</v>
      </c>
      <c r="BJ14" s="60" t="str">
        <f>腿部!A14</f>
        <v>心灵映射护腿</v>
      </c>
      <c r="BK14" s="60" t="str">
        <f>脚部!A14</f>
        <v>哀魂长靴</v>
      </c>
      <c r="BL14" s="60" t="str">
        <f>手指!A14</f>
        <v>无上毁灭之灰烬指环*</v>
      </c>
      <c r="BM14" s="60" t="str">
        <f>饰品!A14</f>
        <v>被摘除的外物</v>
      </c>
      <c r="BN14" s="60" t="str">
        <f>副手!A14</f>
        <v>炽光圣杯</v>
      </c>
      <c r="BO14" s="60" t="str">
        <f>魔杖!A14</f>
        <v>暴怒角斗士的挫败之触</v>
      </c>
      <c r="BR14" s="59" t="str">
        <f>石头!A14</f>
        <v>34智力</v>
      </c>
    </row>
    <row r="15" spans="2:80" x14ac:dyDescent="0.15">
      <c r="B15" s="19" t="s">
        <v>260</v>
      </c>
      <c r="C15" s="13" t="s">
        <v>444</v>
      </c>
      <c r="D15">
        <f>VLOOKUP(人物属性设置[[#This Row],[名称]],饰品[#All],COLUMN(),FALSE)</f>
        <v>0</v>
      </c>
      <c r="E15">
        <f>VLOOKUP(人物属性设置[[#This Row],[名称]],饰品[#All],COLUMN(),FALSE)</f>
        <v>0</v>
      </c>
      <c r="F15">
        <f>VLOOKUP(人物属性设置[[#This Row],[名称]],饰品[#All],COLUMN(),FALSE)</f>
        <v>0</v>
      </c>
      <c r="G15">
        <f>VLOOKUP(人物属性设置[[#This Row],[名称]],饰品[#All],COLUMN(),FALSE)</f>
        <v>0</v>
      </c>
      <c r="H15">
        <f>VLOOKUP(人物属性设置[[#This Row],[名称]],饰品[#All],COLUMN(),FALSE)</f>
        <v>152</v>
      </c>
      <c r="I15">
        <f>VLOOKUP(人物属性设置[[#This Row],[名称]],饰品[#All],COLUMN(),FALSE)</f>
        <v>0</v>
      </c>
      <c r="J15" s="14" t="s">
        <v>391</v>
      </c>
      <c r="K15" s="13" t="s">
        <v>389</v>
      </c>
      <c r="L15" s="13" t="s">
        <v>389</v>
      </c>
      <c r="M15" s="13" t="s">
        <v>389</v>
      </c>
      <c r="N15" s="17" t="s">
        <v>401</v>
      </c>
      <c r="O15" s="14" t="s">
        <v>391</v>
      </c>
      <c r="Q15" s="55" t="str">
        <f>IF(VLOOKUP(人物属性设置[[#This Row],[名称]],饰品[#All],13,FALSE) &lt;&gt; "",VLOOKUP(人物属性设置[[#This Row],[名称]],饰品[#All],13,FALSE),"")</f>
        <v>SpyglassH</v>
      </c>
      <c r="BA15" s="60" t="str">
        <f>武器!$A15</f>
        <v>考达拉寒风匕首</v>
      </c>
      <c r="BB15" s="60" t="str">
        <f>头部!A15</f>
        <v>暴怒角斗士的月布软帽</v>
      </c>
      <c r="BC15" s="60" t="str">
        <f>项链!A15</f>
        <v>斩魂垂饰</v>
      </c>
      <c r="BD15" s="60" t="str">
        <f>肩部!A15</f>
        <v>暴怒角斗士的月布衬肩</v>
      </c>
      <c r="BE15" s="60" t="str">
        <f>披风!A15</f>
        <v>悲痛抚平者斗篷</v>
      </c>
      <c r="BF15" s="60" t="str">
        <f>胸部!A15</f>
        <v>血色侍僧法袍</v>
      </c>
      <c r="BG15" s="60" t="str">
        <f>手腕!A15</f>
        <v>黑暗精粹护腕</v>
      </c>
      <c r="BH15" s="60" t="str">
        <f>手部!A15</f>
        <v>血色侍僧手套</v>
      </c>
      <c r="BI15" s="60" t="str">
        <f>腰带!A15</f>
        <v>黑雾束带(H)</v>
      </c>
      <c r="BJ15" s="60" t="str">
        <f>腿部!A15</f>
        <v>新伤褶裙</v>
      </c>
      <c r="BK15" s="60" t="str">
        <f>脚部!A15</f>
        <v>孀妇长靴</v>
      </c>
      <c r="BL15" s="60" t="str">
        <f>手指!A15</f>
        <v>无上智慧之灰烬指环*</v>
      </c>
      <c r="BM15" s="60" t="str">
        <f>饰品!A15</f>
        <v>阿尔索的算盘</v>
      </c>
      <c r="BN15" s="60" t="str">
        <f>副手!A15</f>
        <v>降福圣杯(H)</v>
      </c>
      <c r="BO15" s="60" t="str">
        <f>魔杖!A15</f>
        <v>灵魂囚禁手杖(H)</v>
      </c>
      <c r="BR15" s="59" t="str">
        <f>石头!A15</f>
        <v>34急速</v>
      </c>
    </row>
    <row r="16" spans="2:80" x14ac:dyDescent="0.15">
      <c r="B16" s="19" t="s">
        <v>261</v>
      </c>
      <c r="C16" s="58" t="s">
        <v>262</v>
      </c>
      <c r="D16">
        <f>VLOOKUP(人物属性设置[[#This Row],[名称]],饰品[#All],COLUMN(),FALSE)</f>
        <v>0</v>
      </c>
      <c r="E16">
        <f>VLOOKUP(人物属性设置[[#This Row],[名称]],饰品[#All],COLUMN(),FALSE)</f>
        <v>0</v>
      </c>
      <c r="F16">
        <f>VLOOKUP(人物属性设置[[#This Row],[名称]],饰品[#All],COLUMN(),FALSE)</f>
        <v>0</v>
      </c>
      <c r="G16">
        <f>VLOOKUP(人物属性设置[[#This Row],[名称]],饰品[#All],COLUMN(),FALSE)</f>
        <v>155</v>
      </c>
      <c r="H16">
        <f>VLOOKUP(人物属性设置[[#This Row],[名称]],饰品[#All],COLUMN(),FALSE)</f>
        <v>0</v>
      </c>
      <c r="I16">
        <f>VLOOKUP(人物属性设置[[#This Row],[名称]],饰品[#All],COLUMN(),FALSE)</f>
        <v>0</v>
      </c>
      <c r="J16" s="14" t="s">
        <v>391</v>
      </c>
      <c r="K16" s="13" t="s">
        <v>389</v>
      </c>
      <c r="L16" s="13" t="s">
        <v>389</v>
      </c>
      <c r="M16" s="13" t="s">
        <v>389</v>
      </c>
      <c r="N16" s="17" t="s">
        <v>401</v>
      </c>
      <c r="O16" s="14" t="s">
        <v>391</v>
      </c>
      <c r="Q16" s="55" t="str">
        <f>IF(VLOOKUP(人物属性设置[[#This Row],[名称]],饰品[#All],13,FALSE) &lt;&gt; "",VLOOKUP(人物属性设置[[#This Row],[名称]],饰品[#All],13,FALSE),"")</f>
        <v>DislodgedObject</v>
      </c>
      <c r="BA16" s="60" t="str">
        <f>武器!$A16</f>
        <v>感染之伤</v>
      </c>
      <c r="BB16" s="60" t="str">
        <f>头部!A16</f>
        <v>维伦的凯旋头环(H)</v>
      </c>
      <c r="BC16" s="60" t="str">
        <f>项链!A16</f>
        <v>暴怒角斗士的拯救坠饰</v>
      </c>
      <c r="BD16" s="60" t="str">
        <f>肩部!A16</f>
        <v>维伦的凯旋衬肩(H)</v>
      </c>
      <c r="BE16" s="60" t="str">
        <f>披风!A16</f>
        <v>吉安娜的光辉(H)</v>
      </c>
      <c r="BF16" s="60" t="str">
        <f>胸部!A16</f>
        <v>碧空流落法袍</v>
      </c>
      <c r="BG16" s="60" t="str">
        <f>手腕!A16</f>
        <v>暴怒角斗士的活跃护腕</v>
      </c>
      <c r="BH16" s="60" t="str">
        <f>手部!A16</f>
        <v>断指手套</v>
      </c>
      <c r="BI16" s="60" t="str">
        <f>腰带!A16</f>
        <v>凛冬束带</v>
      </c>
      <c r="BJ16" s="60" t="str">
        <f>腿部!A16</f>
        <v>暴怒角斗士的绸缎护腿</v>
      </c>
      <c r="BK16" s="60" t="str">
        <f>脚部!A16</f>
        <v>浮冰软鞋</v>
      </c>
      <c r="BL16" s="60" t="str">
        <f>手指!A16</f>
        <v>樱红缠丝指环(H)</v>
      </c>
      <c r="BM16" s="60" t="str">
        <f>饰品!A16</f>
        <v>玛格娅的谬论之笔</v>
      </c>
      <c r="BN16" s="60" t="str">
        <f>副手!A16</f>
        <v>远古角石魔典</v>
      </c>
      <c r="BO16" s="60" t="str">
        <f>魔杖!A16</f>
        <v>碎魂者</v>
      </c>
      <c r="BR16" s="59" t="str">
        <f>石头!A16</f>
        <v>34精神</v>
      </c>
    </row>
    <row r="17" spans="2:67" x14ac:dyDescent="0.15">
      <c r="B17" s="19" t="s">
        <v>263</v>
      </c>
      <c r="C17" s="13" t="s">
        <v>576</v>
      </c>
      <c r="D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66</v>
      </c>
      <c r="E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10</v>
      </c>
      <c r="F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916</v>
      </c>
      <c r="G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58</v>
      </c>
      <c r="H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0</v>
      </c>
      <c r="I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0</v>
      </c>
      <c r="J17" t="str">
        <f>CONCATENATE(IF(VLOOKUP(人物属性设置[[#This Row],[名称]],武器[#All],11,FALSE),CONCATENATE(VLOOKUP(人物属性设置[[#This Row],[名称]],武器[#All],11,FALSE),"红"),""),IF(VLOOKUP(人物属性设置[[#This Row],[名称]],武器[#All],12,FALSE),CONCATENATE(VLOOKUP(人物属性设置[[#This Row],[名称]],武器[#All],12,FALSE),"黄"),""),IF(VLOOKUP(人物属性设置[[#This Row],[名称]],武器[#All],13,FALSE),CONCATENATE(VLOOKUP(人物属性设置[[#This Row],[名称]],武器[#All],13,FALSE),"蓝"),""))</f>
        <v>1蓝</v>
      </c>
      <c r="K17" s="13" t="s">
        <v>378</v>
      </c>
      <c r="L17" s="13" t="s">
        <v>389</v>
      </c>
      <c r="M17" s="13" t="s">
        <v>389</v>
      </c>
      <c r="N17" s="13" t="s">
        <v>437</v>
      </c>
      <c r="O17" t="str">
        <f>GemAward(VLOOKUP(人物属性设置[[#This Row],[名称]],武器[#All],11,FALSE),VLOOKUP(人物属性设置[[#This Row],[名称]],武器[#All],12,FALSE),VLOOKUP(人物属性设置[[#This Row],[名称]],武器[#All],13,FALSE),VLOOKUP(人物属性设置[[#This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7" s="55" t="str">
        <f>IF(VLOOKUP(人物属性设置[[#This Row],[附魔]],武器附魔[#All],2,FALSE)&lt;&gt;"",VLOOKUP(人物属性设置[[#This Row],[附魔]],武器附魔[#All],2,FALSE),"")</f>
        <v/>
      </c>
      <c r="BA17" s="60" t="str">
        <f>武器!$A17</f>
        <v>午夜之阳</v>
      </c>
      <c r="BB17" s="60" t="str">
        <f>头部!A17</f>
        <v>维伦的凯旋头环</v>
      </c>
      <c r="BC17" s="60" t="str">
        <f>项链!A17</f>
        <v>暴怒角斗士的支配坠饰</v>
      </c>
      <c r="BD17" s="60" t="str">
        <f>肩部!A17</f>
        <v>维伦的凯旋衬肩</v>
      </c>
      <c r="BE17" s="60" t="str">
        <f>披风!A17</f>
        <v>伯瓦尔的虔诚</v>
      </c>
      <c r="BF17" s="60" t="str">
        <f>胸部!A17</f>
        <v>血魂法衣</v>
      </c>
      <c r="BG17" s="60" t="str">
        <f>手腕!A17</f>
        <v>邪火束腕(H)</v>
      </c>
      <c r="BH17" s="60" t="str">
        <f>手部!A17</f>
        <v>女武神护手</v>
      </c>
      <c r="BI17" s="60" t="str">
        <f>腰带!A17</f>
        <v>黑雾束带</v>
      </c>
      <c r="BJ17" s="60" t="str">
        <f>腿部!A17</f>
        <v>暴怒角斗士的月布护腿</v>
      </c>
      <c r="BK17" s="60"/>
      <c r="BL17" s="60" t="str">
        <f>手指!A17</f>
        <v>腐败徽记(H)</v>
      </c>
      <c r="BM17" s="60" t="str">
        <f>饰品!A17</f>
        <v>纯净月尘</v>
      </c>
      <c r="BN17" s="60" t="str">
        <f>副手!A17</f>
        <v>枯萎之心</v>
      </c>
      <c r="BO17" s="60" t="str">
        <f>魔杖!A17</f>
        <v>灵魂囚禁手杖</v>
      </c>
    </row>
    <row r="18" spans="2:67" x14ac:dyDescent="0.15">
      <c r="B18" s="19" t="s">
        <v>264</v>
      </c>
      <c r="C18" s="13" t="s">
        <v>445</v>
      </c>
      <c r="D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69</v>
      </c>
      <c r="E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0</v>
      </c>
      <c r="F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125</v>
      </c>
      <c r="G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0</v>
      </c>
      <c r="H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45</v>
      </c>
      <c r="I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65</v>
      </c>
      <c r="J18" t="str">
        <f>CONCATENATE(IF(VLOOKUP(人物属性设置[[#This Row],[名称]],副手[#All],11,FALSE),CONCATENATE(VLOOKUP(人物属性设置[[#This Row],[名称]],副手[#All],11,FALSE),"红"),""),IF(VLOOKUP(人物属性设置[[#This Row],[名称]],副手[#All],12,FALSE),CONCATENATE(VLOOKUP(人物属性设置[[#This Row],[名称]],副手[#All],12,FALSE),"黄"),""),IF(VLOOKUP(人物属性设置[[#This Row],[名称]],副手[#All],13,FALSE),CONCATENATE(VLOOKUP(人物属性设置[[#This Row],[名称]],副手[#All],13,FALSE),"蓝"),""))</f>
        <v>1红</v>
      </c>
      <c r="K18" s="13" t="s">
        <v>370</v>
      </c>
      <c r="L18" s="13" t="s">
        <v>389</v>
      </c>
      <c r="M18" s="13" t="s">
        <v>389</v>
      </c>
      <c r="N18" s="17" t="s">
        <v>401</v>
      </c>
      <c r="O18" t="str">
        <f>GemAward(VLOOKUP(人物属性设置[[#This Row],[名称]],副手[#All],11,FALSE),VLOOKUP(人物属性设置[[#This Row],[名称]],副手[#All],12,FALSE),VLOOKUP(人物属性设置[[#This Row],[名称]],副手[#All],13,FALSE),VLOOKUP(人物属性设置[[#This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8" s="55"/>
      <c r="BA18" s="60" t="str">
        <f>武器!$A18</f>
        <v>亚库斯，安东尼达斯的圣杖(H)</v>
      </c>
      <c r="BB18" s="60" t="str">
        <f>头部!A18</f>
        <v>卓越发环</v>
      </c>
      <c r="BC18" s="60" t="str">
        <f>项链!A18</f>
        <v>暴怒角斗士的镇压坠饰</v>
      </c>
      <c r="BD18" s="60" t="str">
        <f>肩部!A18</f>
        <v>人性敬畏衬肩</v>
      </c>
      <c r="BE18" s="60" t="str">
        <f>披风!A18</f>
        <v>偏移披风(H)</v>
      </c>
      <c r="BF18" s="60" t="str">
        <f>胸部!A18</f>
        <v>暴怒角斗士的绸缎长袍</v>
      </c>
      <c r="BG18" s="60" t="str">
        <f>手腕!A18</f>
        <v>巫师的珠玉护腕</v>
      </c>
      <c r="BH18" s="60" t="str">
        <f>手部!A18</f>
        <v>暴怒角斗士的绸缎手套</v>
      </c>
      <c r="BI18" s="60" t="str">
        <f>腰带!A18</f>
        <v>暴怒角斗士的活跃裹腰</v>
      </c>
      <c r="BJ18" s="60" t="str">
        <f>腿部!A18</f>
        <v>维伦的凯旋长裤(H)</v>
      </c>
      <c r="BK18" s="60"/>
      <c r="BL18" s="60" t="str">
        <f>手指!A18</f>
        <v>玛利苟斯的回忆</v>
      </c>
      <c r="BM18" s="60" t="str">
        <f>饰品!A18</f>
        <v>穆拉丁的望远镜</v>
      </c>
      <c r="BN18" s="60"/>
      <c r="BO18" s="60" t="str">
        <f>魔杖!A18</f>
        <v>石化藤条</v>
      </c>
    </row>
    <row r="19" spans="2:67" x14ac:dyDescent="0.15">
      <c r="B19" s="19" t="s">
        <v>265</v>
      </c>
      <c r="C19" s="13" t="s">
        <v>655</v>
      </c>
      <c r="D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35</v>
      </c>
      <c r="E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0</v>
      </c>
      <c r="F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63</v>
      </c>
      <c r="G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42</v>
      </c>
      <c r="H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0</v>
      </c>
      <c r="I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29</v>
      </c>
      <c r="J19" t="str">
        <f>CONCATENATE(IF(VLOOKUP(人物属性设置[[#This Row],[名称]],魔杖[#All],11,FALSE),CONCATENATE(VLOOKUP(人物属性设置[[#This Row],[名称]],魔杖[#All],11,FALSE),"红"),""),IF(VLOOKUP(人物属性设置[[#This Row],[名称]],魔杖[#All],12,FALSE),CONCATENATE(VLOOKUP(人物属性设置[[#This Row],[名称]],魔杖[#All],12,FALSE),"黄"),""),IF(VLOOKUP(人物属性设置[[#This Row],[名称]],魔杖[#All],13,FALSE),CONCATENATE(VLOOKUP(人物属性设置[[#This Row],[名称]],魔杖[#All],13,FALSE),"蓝"),""))</f>
        <v>1黄</v>
      </c>
      <c r="K19" s="13" t="s">
        <v>393</v>
      </c>
      <c r="L19" s="13" t="s">
        <v>389</v>
      </c>
      <c r="M19" s="13" t="s">
        <v>389</v>
      </c>
      <c r="N19" s="17" t="s">
        <v>401</v>
      </c>
      <c r="O19" t="str">
        <f>GemAward(VLOOKUP(人物属性设置[[#This Row],[名称]],魔杖[#All],11,FALSE),VLOOKUP(人物属性设置[[#This Row],[名称]],魔杖[#All],12,FALSE),VLOOKUP(人物属性设置[[#This Row],[名称]],魔杖[#All],13,FALSE),VLOOKUP(人物属性设置[[#This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9" s="55"/>
      <c r="BA19" s="60" t="str">
        <f>武器!$A19</f>
        <v>圣光将熄(H)</v>
      </c>
      <c r="BB19" s="60" t="str">
        <f>头部!A19</f>
        <v>卓越头环</v>
      </c>
      <c r="BC19" s="60" t="str">
        <f>项链!A19</f>
        <v>暴怒角斗士的统御坠饰</v>
      </c>
      <c r="BD19" s="60" t="str">
        <f>肩部!A19</f>
        <v>灾降护肩</v>
      </c>
      <c r="BE19" s="60" t="str">
        <f>披风!A19</f>
        <v>清风披风(H)</v>
      </c>
      <c r="BF19" s="60" t="str">
        <f>胸部!A19</f>
        <v>暴怒角斗士的月布长袍</v>
      </c>
      <c r="BG19" s="60"/>
      <c r="BH19" s="60" t="str">
        <f>手部!A19</f>
        <v>暴怒角斗士的月布手套</v>
      </c>
      <c r="BI19" s="60" t="str">
        <f>腰带!A19</f>
        <v>冰吼腰带(H)</v>
      </c>
      <c r="BJ19" s="60" t="str">
        <f>腿部!A19</f>
        <v>宽抚护腿(H)</v>
      </c>
      <c r="BK19" s="60"/>
      <c r="BL19" s="60" t="str">
        <f>手指!A19</f>
        <v>瓦拉纳的备用徽记之戒</v>
      </c>
      <c r="BM19" s="60" t="str">
        <f>饰品!A19</f>
        <v>纯冰薄片</v>
      </c>
      <c r="BO19" s="60" t="str">
        <f>魔杖!A19</f>
        <v>创世权杖</v>
      </c>
    </row>
    <row r="20" spans="2:67" x14ac:dyDescent="0.15">
      <c r="B20" s="18" t="s">
        <v>522</v>
      </c>
      <c r="C20" s="12" t="s">
        <v>532</v>
      </c>
      <c r="D20">
        <f>VLOOKUP(人物属性设置[[#This Row],[名称]],多彩[#All],COLUMN(),FALSE)</f>
        <v>0</v>
      </c>
      <c r="E20">
        <f>VLOOKUP(人物属性设置[[#This Row],[名称]],多彩[#All],COLUMN(),FALSE)</f>
        <v>0</v>
      </c>
      <c r="F20">
        <f>VLOOKUP(人物属性设置[[#This Row],[名称]],多彩[#All],COLUMN(),FALSE)</f>
        <v>0</v>
      </c>
      <c r="G20">
        <f>VLOOKUP(人物属性设置[[#This Row],[名称]],多彩[#All],COLUMN(),FALSE)</f>
        <v>0</v>
      </c>
      <c r="H20">
        <f>VLOOKUP(人物属性设置[[#This Row],[名称]],多彩[#All],COLUMN(),FALSE)</f>
        <v>21</v>
      </c>
      <c r="I20">
        <f>VLOOKUP(人物属性设置[[#This Row],[名称]],多彩[#All],COLUMN(),FALSE)</f>
        <v>0</v>
      </c>
      <c r="J20" s="14" t="s">
        <v>534</v>
      </c>
      <c r="K20" s="13" t="s">
        <v>389</v>
      </c>
      <c r="L20" s="13" t="s">
        <v>389</v>
      </c>
      <c r="M20" s="13" t="s">
        <v>389</v>
      </c>
      <c r="N20" s="17" t="s">
        <v>534</v>
      </c>
      <c r="O20" s="14" t="s">
        <v>534</v>
      </c>
      <c r="Q20" s="55" t="str">
        <f>IF(VLOOKUP(人物属性设置[[#This Row],[名称]],多彩[#All],2,FALSE)&lt;&gt;"",VLOOKUP(人物属性设置[[#This Row],[名称]],多彩[#All],2,FALSE),"")</f>
        <v>MetaChaoic</v>
      </c>
      <c r="BA20" s="60" t="str">
        <f>武器!$A20</f>
        <v>尼伯龙根(H)</v>
      </c>
      <c r="BB20" s="60" t="str">
        <f>头部!A20</f>
        <v>云晕兜帽</v>
      </c>
      <c r="BC20" s="60" t="str">
        <f>项链!A20</f>
        <v>瓦格里的嚎哭(H)</v>
      </c>
      <c r="BD20" s="60"/>
      <c r="BE20" s="60" t="str">
        <f>披风!A20</f>
        <v>少女的宠爱(H)</v>
      </c>
      <c r="BF20" s="60" t="str">
        <f>胸部!A20</f>
        <v>织天者法袍(H)</v>
      </c>
      <c r="BG20" s="60"/>
      <c r="BH20" s="60" t="str">
        <f>手部!A20</f>
        <v>维伦的凯旋裹手(H)</v>
      </c>
      <c r="BI20" s="60" t="str">
        <f>腰带!A20</f>
        <v>永恒束带(H)</v>
      </c>
      <c r="BJ20" s="60" t="str">
        <f>腿部!A20</f>
        <v>深空护腿(H)</v>
      </c>
      <c r="BK20" s="60"/>
      <c r="BL20" s="60" t="str">
        <f>手指!A20</f>
        <v>愈合血环</v>
      </c>
      <c r="BM20" s="60" t="str">
        <f>饰品!A20</f>
        <v>战败者的慰藉(H)</v>
      </c>
      <c r="BO20" s="60"/>
    </row>
    <row r="21" spans="2:67" x14ac:dyDescent="0.15">
      <c r="BA21" s="60" t="str">
        <f>武器!$A21</f>
        <v>亚库斯，安东尼达斯的圣杖</v>
      </c>
      <c r="BB21" s="60" t="str">
        <f>头部!A21</f>
        <v>炽热复仇罩帽</v>
      </c>
      <c r="BC21" s="60" t="str">
        <f>项链!A21</f>
        <v>瓦格里的嚎哭</v>
      </c>
      <c r="BD21" s="60"/>
      <c r="BE21" s="60" t="str">
        <f>披风!A21</f>
        <v>苦咒斗篷(H)</v>
      </c>
      <c r="BF21" s="60" t="str">
        <f>胸部!A21</f>
        <v>织天者法袍</v>
      </c>
      <c r="BH21" s="60" t="str">
        <f>手部!A21</f>
        <v>亡者之触手套(H)</v>
      </c>
      <c r="BI21" s="60"/>
      <c r="BJ21" s="60" t="str">
        <f>腿部!A21</f>
        <v>维伦的凯旋长裤</v>
      </c>
      <c r="BK21" s="60"/>
      <c r="BL21" s="60" t="str">
        <f>手指!A21</f>
        <v>飞升之戒</v>
      </c>
      <c r="BM21" s="60" t="str">
        <f>饰品!A21</f>
        <v>战败者的慰藉</v>
      </c>
    </row>
    <row r="22" spans="2:67" x14ac:dyDescent="0.15">
      <c r="B22" s="18" t="s">
        <v>544</v>
      </c>
      <c r="C22" s="15" t="s">
        <v>681</v>
      </c>
      <c r="D22">
        <f>VLOOKUP(人物属性设置[[#This Row],[名称]],基础属性[#All],COLUMN(),FALSE)</f>
        <v>174</v>
      </c>
      <c r="E22">
        <f>VLOOKUP(人物属性设置[[#This Row],[名称]],基础属性[#All],COLUMN(),FALSE)</f>
        <v>181</v>
      </c>
      <c r="F22">
        <f>VLOOKUP(人物属性设置[[#This Row],[名称]],基础属性[#All],COLUMN(),FALSE)</f>
        <v>0</v>
      </c>
      <c r="G22">
        <f>VLOOKUP(人物属性设置[[#This Row],[名称]],基础属性[#All],COLUMN(),FALSE)</f>
        <v>0</v>
      </c>
      <c r="H22">
        <f>VLOOKUP(人物属性设置[[#This Row],[名称]],基础属性[#All],COLUMN(),FALSE)</f>
        <v>0</v>
      </c>
      <c r="I22">
        <f>VLOOKUP(人物属性设置[[#This Row],[名称]],基础属性[#All],COLUMN(),FALSE)</f>
        <v>0</v>
      </c>
      <c r="J22" s="14"/>
      <c r="Q22" s="55" t="str">
        <f>IF(VLOOKUP(人物属性设置[[#This Row],[名称]],基础属性[#All],2,FALSE)&lt;&gt;"",VLOOKUP(人物属性设置[[#This Row],[名称]],基础属性[#All],2,FALSE),"")</f>
        <v/>
      </c>
      <c r="BA22" s="60" t="str">
        <f>武器!$A22</f>
        <v>尸煞(H)</v>
      </c>
      <c r="BB22" s="60"/>
      <c r="BC22" s="60" t="str">
        <f>项链!A22</f>
        <v>黑暗死亡坠饰(H)</v>
      </c>
      <c r="BD22" s="60"/>
      <c r="BE22" s="60" t="str">
        <f>披风!A22</f>
        <v>狂热十字军披风(H)</v>
      </c>
      <c r="BF22" s="60" t="str">
        <f>胸部!A22</f>
        <v>晋升罗衣(H)</v>
      </c>
      <c r="BH22" s="60" t="str">
        <f>手部!A22</f>
        <v>幽影手套(H)</v>
      </c>
      <c r="BJ22" s="60" t="str">
        <f>腿部!A22</f>
        <v>恶魔信使护腿(H)</v>
      </c>
      <c r="BK22" s="60"/>
      <c r="BL22" s="60" t="str">
        <f>手指!A22</f>
        <v>狂语之戒</v>
      </c>
      <c r="BM22" s="60" t="str">
        <f>饰品!A22</f>
        <v>深渊符文</v>
      </c>
    </row>
    <row r="23" spans="2:67" x14ac:dyDescent="0.15">
      <c r="B23" s="19" t="s">
        <v>368</v>
      </c>
      <c r="D23" s="18">
        <f t="shared" ref="D23:I23" si="0">SUM(D3:D22)</f>
        <v>1435</v>
      </c>
      <c r="E23" s="18">
        <f t="shared" si="0"/>
        <v>407</v>
      </c>
      <c r="F23" s="18">
        <f t="shared" si="0"/>
        <v>3150</v>
      </c>
      <c r="G23" s="18">
        <f t="shared" si="0"/>
        <v>1026</v>
      </c>
      <c r="H23" s="18">
        <f t="shared" si="0"/>
        <v>981</v>
      </c>
      <c r="I23" s="18">
        <f t="shared" si="0"/>
        <v>292</v>
      </c>
      <c r="Q23" s="59" t="s">
        <v>592</v>
      </c>
      <c r="BA23" s="60" t="str">
        <f>武器!$A23</f>
        <v>玛格汉大酋长的法杖(H)</v>
      </c>
      <c r="BB23" s="60"/>
      <c r="BC23" s="60" t="str">
        <f>项链!A23</f>
        <v>元素禁锢护符(H)</v>
      </c>
      <c r="BD23" s="60"/>
      <c r="BE23" s="60" t="str">
        <f>披风!A23</f>
        <v>偏移披风</v>
      </c>
      <c r="BF23" s="60" t="str">
        <f>胸部!A23</f>
        <v>晋升罗衣</v>
      </c>
      <c r="BH23" s="60" t="str">
        <f>手部!A23</f>
        <v>维伦的凯旋裹手</v>
      </c>
      <c r="BJ23" s="60" t="str">
        <f>腿部!A23</f>
        <v>宽抚护腿</v>
      </c>
      <c r="BL23" s="60" t="str">
        <f>手指!A23</f>
        <v>玛洛加尔的寒冰之瞳</v>
      </c>
      <c r="BM23" s="60" t="str">
        <f>饰品!A23</f>
        <v>永冻冰晶</v>
      </c>
    </row>
    <row r="24" spans="2:67" x14ac:dyDescent="0.15">
      <c r="Q24" s="59" t="str">
        <f>IF(L34="打开","PartialResistance","")</f>
        <v>PartialResistance</v>
      </c>
      <c r="BA24" s="60" t="str">
        <f>武器!$A24</f>
        <v>席瓦娜的苍穹法杖(H)</v>
      </c>
      <c r="BB24" s="60"/>
      <c r="BC24" s="60"/>
      <c r="BD24" s="60"/>
      <c r="BE24" s="60" t="str">
        <f>披风!A24</f>
        <v>清风披风</v>
      </c>
      <c r="BF24" s="60" t="str">
        <f>胸部!A24</f>
        <v>无眠外衣(H)</v>
      </c>
      <c r="BH24" s="60" t="str">
        <f>手部!A24</f>
        <v>亡者之触手套</v>
      </c>
      <c r="BJ24" s="60" t="str">
        <f>腿部!A24</f>
        <v>深空护腿</v>
      </c>
      <c r="BL24" s="60" t="str">
        <f>手指!A24</f>
        <v>无尽迷宫指环</v>
      </c>
      <c r="BM24" s="60" t="str">
        <f>饰品!A24</f>
        <v>死者的统治</v>
      </c>
    </row>
    <row r="25" spans="2:67" x14ac:dyDescent="0.15">
      <c r="B25" s="18" t="s">
        <v>553</v>
      </c>
      <c r="C25" t="s">
        <v>879</v>
      </c>
      <c r="BA25" s="60" t="str">
        <f>武器!$A25</f>
        <v>圣光将熄</v>
      </c>
      <c r="BB25" s="60"/>
      <c r="BC25" s="60"/>
      <c r="BE25" s="60" t="str">
        <f>披风!A25</f>
        <v>少女的宠爱</v>
      </c>
      <c r="BF25" s="60" t="str">
        <f>胸部!A25</f>
        <v>维伦的凯旋法衣</v>
      </c>
      <c r="BH25" s="60"/>
      <c r="BJ25" s="60"/>
      <c r="BL25" s="60" t="str">
        <f>手指!A25</f>
        <v>汹涌毁灭之灰烬指环</v>
      </c>
      <c r="BM25" s="60" t="str">
        <f>饰品!A25</f>
        <v>死者的统治(H)</v>
      </c>
    </row>
    <row r="26" spans="2:67" x14ac:dyDescent="0.15">
      <c r="BA26" s="60" t="str">
        <f>武器!$A26</f>
        <v>尼伯龙根</v>
      </c>
      <c r="BB26" s="60"/>
      <c r="BE26" s="60" t="str">
        <f>披风!A26</f>
        <v>轻盈的萨菲隆斗篷</v>
      </c>
      <c r="BF26" s="60" t="str">
        <f>胸部!A26</f>
        <v>维伦的凯旋法衣(H)</v>
      </c>
      <c r="BH26" s="60"/>
      <c r="BL26" s="60" t="str">
        <f>手指!A26</f>
        <v>汹涌智慧之灰烬指环</v>
      </c>
      <c r="BM26" s="60" t="str">
        <f>饰品!A26</f>
        <v>战斗大师的毁灭</v>
      </c>
    </row>
    <row r="27" spans="2:67" x14ac:dyDescent="0.15">
      <c r="BA27" s="60" t="str">
        <f>武器!$A27</f>
        <v>席瓦娜的苍穹法杖</v>
      </c>
      <c r="BB27" s="60"/>
      <c r="BE27" s="60" t="str">
        <f>披风!A27</f>
        <v>暴怒角斗士的镇压披风</v>
      </c>
      <c r="BF27" s="60" t="str">
        <f>胸部!A27</f>
        <v>梅林法袍</v>
      </c>
      <c r="BH27" s="60"/>
      <c r="BL27" s="60" t="str">
        <f>手指!A27</f>
        <v>塞维娅娜的贡品</v>
      </c>
      <c r="BM27" s="60" t="str">
        <f>饰品!A27</f>
        <v>战斗大师的狂怒</v>
      </c>
    </row>
    <row r="28" spans="2:67" x14ac:dyDescent="0.15">
      <c r="BA28" s="60" t="str">
        <f>武器!$A28</f>
        <v>尸煞</v>
      </c>
      <c r="BB28" s="60"/>
      <c r="BE28" s="60" t="str">
        <f>披风!A28</f>
        <v>暴怒角斗士的统御披风</v>
      </c>
      <c r="BF28" s="60" t="str">
        <f>胸部!A28</f>
        <v>皇家月幕长袍</v>
      </c>
      <c r="BH28" s="60"/>
      <c r="BL28" s="60" t="str">
        <f>手指!A28</f>
        <v>樱红缠丝指环</v>
      </c>
      <c r="BM28" s="60" t="str">
        <f>饰品!A28</f>
        <v>战斗大师的活力</v>
      </c>
    </row>
    <row r="29" spans="2:67" x14ac:dyDescent="0.15">
      <c r="BA29" s="60" t="str">
        <f>武器!$A29</f>
        <v>玛格汉大酋长的法杖</v>
      </c>
      <c r="BE29" s="60" t="str">
        <f>披风!A29</f>
        <v>暴怒角斗士的支配披风</v>
      </c>
      <c r="BF29" s="60"/>
      <c r="BH29" s="60"/>
      <c r="BL29" s="60" t="str">
        <f>手指!A29</f>
        <v>腐败徽记</v>
      </c>
      <c r="BM29" s="60" t="str">
        <f>饰品!A29</f>
        <v>战斗大师的精确</v>
      </c>
    </row>
    <row r="30" spans="2:67" x14ac:dyDescent="0.15">
      <c r="BA30" s="60" t="str">
        <f>武器!$A30</f>
        <v>暴怒角斗士的迅猛之刃</v>
      </c>
      <c r="BE30" s="60" t="str">
        <f>披风!A30</f>
        <v>暴怒角斗士的解救披风</v>
      </c>
      <c r="BF30" s="60"/>
      <c r="BH30" s="60"/>
      <c r="BL30" s="60" t="str">
        <f>手指!A30</f>
        <v>毁灭之灰烬指环</v>
      </c>
      <c r="BM30" s="60" t="str">
        <f>饰品!A30</f>
        <v>天堂之焰</v>
      </c>
    </row>
    <row r="31" spans="2:67" x14ac:dyDescent="0.15">
      <c r="B31" t="s">
        <v>559</v>
      </c>
      <c r="C31" t="s">
        <v>560</v>
      </c>
      <c r="D31" t="s">
        <v>562</v>
      </c>
      <c r="E31" t="s">
        <v>564</v>
      </c>
      <c r="F31" t="s">
        <v>561</v>
      </c>
      <c r="G31" t="s">
        <v>563</v>
      </c>
      <c r="H31" t="s">
        <v>565</v>
      </c>
      <c r="I31" t="s">
        <v>571</v>
      </c>
      <c r="K31" t="s">
        <v>594</v>
      </c>
      <c r="L31" t="s">
        <v>595</v>
      </c>
      <c r="M31" t="s">
        <v>596</v>
      </c>
      <c r="Q31" s="59" t="s">
        <v>587</v>
      </c>
      <c r="BA31" s="60" t="str">
        <f>武器!$A31</f>
        <v>暴怒角斗士的轻杖</v>
      </c>
      <c r="BE31" s="60"/>
      <c r="BF31" s="60"/>
      <c r="BH31" s="60"/>
      <c r="BL31" s="60" t="str">
        <f>手指!A31</f>
        <v>智慧之灰烬指环</v>
      </c>
      <c r="BM31" s="60" t="str">
        <f>饰品!A31</f>
        <v>复苏饰物</v>
      </c>
    </row>
    <row r="32" spans="2:67" x14ac:dyDescent="0.15">
      <c r="B32" s="18">
        <v>1</v>
      </c>
      <c r="C32" t="s">
        <v>881</v>
      </c>
      <c r="D32">
        <v>5598646</v>
      </c>
      <c r="E32">
        <v>2380</v>
      </c>
      <c r="F32">
        <v>1008</v>
      </c>
      <c r="G32" s="56">
        <f>IF(伤害表[[#This Row],[暴击数]],伤害表[[#This Row],[暴击数]]/伤害表[[#This Row],[次数]],"")</f>
        <v>0.42352941176470588</v>
      </c>
      <c r="H32" s="57">
        <f>IF(伤害表[[#This Row],[总伤害]],伤害表[[#This Row],[总伤害]]/L$32,"")</f>
        <v>1119.7292</v>
      </c>
      <c r="I32" s="56">
        <f>伤害表[[#This Row],[总伤害]]/D$41</f>
        <v>0.15663945684890648</v>
      </c>
      <c r="K32" s="66" t="s">
        <v>593</v>
      </c>
      <c r="L32" s="67">
        <v>5000</v>
      </c>
      <c r="M32" s="68" t="s">
        <v>584</v>
      </c>
      <c r="Q32" s="55" t="s">
        <v>588</v>
      </c>
      <c r="BA32" s="60" t="str">
        <f>武器!$A32</f>
        <v>暴怒角斗士的冲突法杖</v>
      </c>
      <c r="BF32" s="60"/>
      <c r="BH32" s="60"/>
      <c r="BL32" s="60" t="str">
        <f>手指!A32</f>
        <v>暴怒角斗士的统御指环</v>
      </c>
      <c r="BM32" s="60" t="str">
        <f>饰品!A32</f>
        <v>水晶之心碎片</v>
      </c>
    </row>
    <row r="33" spans="2:65" x14ac:dyDescent="0.15">
      <c r="B33" s="18">
        <v>2</v>
      </c>
      <c r="C33" t="s">
        <v>882</v>
      </c>
      <c r="D33">
        <v>4526795</v>
      </c>
      <c r="E33">
        <v>664</v>
      </c>
      <c r="F33">
        <v>249</v>
      </c>
      <c r="G33" s="56">
        <f>IF(伤害表[[#This Row],[暴击数]],伤害表[[#This Row],[暴击数]]/伤害表[[#This Row],[次数]],"")</f>
        <v>0.375</v>
      </c>
      <c r="H33" s="57">
        <f>IF(伤害表[[#This Row],[总伤害]],伤害表[[#This Row],[总伤害]]/L$32,"")</f>
        <v>905.35900000000004</v>
      </c>
      <c r="I33" s="56">
        <f>伤害表[[#This Row],[总伤害]]/D$41</f>
        <v>0.12665110636863727</v>
      </c>
      <c r="K33" s="65" t="s">
        <v>583</v>
      </c>
      <c r="L33" s="67">
        <v>150</v>
      </c>
      <c r="M33" s="68" t="s">
        <v>585</v>
      </c>
      <c r="BA33" s="60" t="str">
        <f>武器!$A33</f>
        <v>暴怒角斗士的敏锐法杖</v>
      </c>
      <c r="BF33" s="60"/>
      <c r="BH33" s="60"/>
      <c r="BL33" s="60" t="str">
        <f>手指!A33</f>
        <v>恶行指环(H)</v>
      </c>
      <c r="BM33" s="60" t="str">
        <f>饰品!A33</f>
        <v>命运之鳞</v>
      </c>
    </row>
    <row r="34" spans="2:65" x14ac:dyDescent="0.15">
      <c r="B34" s="18">
        <v>3</v>
      </c>
      <c r="C34" t="s">
        <v>883</v>
      </c>
      <c r="D34">
        <v>15245366</v>
      </c>
      <c r="E34">
        <v>4788</v>
      </c>
      <c r="F34">
        <v>1733</v>
      </c>
      <c r="G34" s="56">
        <f>IF(伤害表[[#This Row],[暴击数]],伤害表[[#This Row],[暴击数]]/伤害表[[#This Row],[次数]],"")</f>
        <v>0.36194653299916457</v>
      </c>
      <c r="H34" s="57">
        <f>IF(伤害表[[#This Row],[总伤害]],伤害表[[#This Row],[总伤害]]/L$32,"")</f>
        <v>3049.0731999999998</v>
      </c>
      <c r="I34" s="56">
        <f>伤害表[[#This Row],[总伤害]]/D$41</f>
        <v>0.42653631783520263</v>
      </c>
      <c r="K34" s="65" t="s">
        <v>586</v>
      </c>
      <c r="L34" s="67" t="s">
        <v>589</v>
      </c>
      <c r="M34" s="68"/>
      <c r="BA34" s="60" t="str">
        <f>武器!$A34</f>
        <v>海里昂，遗忘之爱(H)</v>
      </c>
      <c r="BF34" s="60"/>
      <c r="BL34" s="60" t="str">
        <f>手指!A34</f>
        <v>黑暗治愈者之戒(H)</v>
      </c>
      <c r="BM34" s="60" t="str">
        <f>饰品!A34</f>
        <v>龙母之眼</v>
      </c>
    </row>
    <row r="35" spans="2:65" x14ac:dyDescent="0.15">
      <c r="B35" s="18">
        <v>4</v>
      </c>
      <c r="C35" t="s">
        <v>884</v>
      </c>
      <c r="D35">
        <v>3431447</v>
      </c>
      <c r="E35">
        <v>1667</v>
      </c>
      <c r="F35">
        <v>716</v>
      </c>
      <c r="G35" s="56">
        <f>IF(伤害表[[#This Row],[暴击数]],伤害表[[#This Row],[暴击数]]/伤害表[[#This Row],[次数]],"")</f>
        <v>0.42951409718056388</v>
      </c>
      <c r="H35" s="57">
        <f>IF(伤害表[[#This Row],[总伤害]],伤害表[[#This Row],[总伤害]]/L$32,"")</f>
        <v>686.2894</v>
      </c>
      <c r="I35" s="56">
        <f>伤害表[[#This Row],[总伤害]]/D$41</f>
        <v>9.6005354559979245E-2</v>
      </c>
      <c r="K35" s="65" t="s">
        <v>591</v>
      </c>
      <c r="L35" s="67" t="s">
        <v>704</v>
      </c>
      <c r="M35" s="68"/>
      <c r="BA35" s="60" t="str">
        <f>武器!$A35</f>
        <v>暴怒角斗士的能量法杖</v>
      </c>
      <c r="BL35" s="60" t="str">
        <f>手指!A35</f>
        <v>肯瑞托符文戒指</v>
      </c>
      <c r="BM35" s="60"/>
    </row>
    <row r="36" spans="2:65" x14ac:dyDescent="0.15">
      <c r="B36" s="18">
        <v>5</v>
      </c>
      <c r="C36" t="s">
        <v>885</v>
      </c>
      <c r="D36">
        <v>6939992</v>
      </c>
      <c r="E36">
        <v>1993</v>
      </c>
      <c r="F36">
        <v>888</v>
      </c>
      <c r="G36" s="56">
        <f>IF(伤害表[[#This Row],[暴击数]],伤害表[[#This Row],[暴击数]]/伤害表[[#This Row],[次数]],"")</f>
        <v>0.44555945810336178</v>
      </c>
      <c r="H36" s="57">
        <f>IF(伤害表[[#This Row],[总伤害]],伤害表[[#This Row],[总伤害]]/L$32,"")</f>
        <v>1387.9983999999999</v>
      </c>
      <c r="I36" s="56">
        <f>伤害表[[#This Row],[总伤害]]/D$41</f>
        <v>0.19416776438727437</v>
      </c>
      <c r="K36" s="70" t="s">
        <v>880</v>
      </c>
      <c r="L36" s="67" t="s">
        <v>704</v>
      </c>
      <c r="M36" s="71"/>
      <c r="BA36" s="60" t="str">
        <f>武器!$A36</f>
        <v>暴怒角斗士的作战法杖</v>
      </c>
      <c r="BL36" s="60" t="str">
        <f>手指!A36</f>
        <v>肯瑞托符文徽记</v>
      </c>
    </row>
    <row r="37" spans="2:65" x14ac:dyDescent="0.15">
      <c r="B37" s="18"/>
      <c r="G37" s="56" t="str">
        <f>IF(伤害表[[#This Row],[暴击数]],伤害表[[#This Row],[暴击数]]/伤害表[[#This Row],[次数]],"")</f>
        <v/>
      </c>
      <c r="H37" s="57" t="str">
        <f>IF(伤害表[[#This Row],[总伤害]],伤害表[[#This Row],[总伤害]]/L$32,"")</f>
        <v/>
      </c>
      <c r="BA37" s="60" t="str">
        <f>武器!$A37</f>
        <v>暴怒角斗士的战斗法杖</v>
      </c>
      <c r="BL37" s="60" t="str">
        <f>手指!A37</f>
        <v>火焰风暴之戒</v>
      </c>
    </row>
    <row r="38" spans="2:65" x14ac:dyDescent="0.15">
      <c r="B38" s="18"/>
      <c r="G38" s="56" t="str">
        <f>IF(伤害表[[#This Row],[暴击数]],伤害表[[#This Row],[暴击数]]/伤害表[[#This Row],[次数]],"")</f>
        <v/>
      </c>
      <c r="H38" s="57" t="str">
        <f>IF(伤害表[[#This Row],[总伤害]],伤害表[[#This Row],[总伤害]]/L$32,"")</f>
        <v/>
      </c>
      <c r="BA38" s="60" t="str">
        <f>武器!$A38</f>
        <v>海里昂，遗忘之爱</v>
      </c>
      <c r="BL38" s="60" t="str">
        <f>手指!A38</f>
        <v>黑暗治愈者之戒</v>
      </c>
    </row>
    <row r="39" spans="2:65" x14ac:dyDescent="0.15">
      <c r="B39" s="18"/>
      <c r="G39" s="56" t="str">
        <f>IF(伤害表[[#This Row],[暴击数]],伤害表[[#This Row],[暴击数]]/伤害表[[#This Row],[次数]],"")</f>
        <v/>
      </c>
      <c r="H39" s="57" t="str">
        <f>IF(伤害表[[#This Row],[总伤害]],伤害表[[#This Row],[总伤害]]/L$32,"")</f>
        <v/>
      </c>
      <c r="BA39" s="60" t="str">
        <f>武器!$A39</f>
        <v>凝霜</v>
      </c>
      <c r="BL39" s="60" t="str">
        <f>手指!A39</f>
        <v>恶行指环</v>
      </c>
    </row>
    <row r="40" spans="2:65" x14ac:dyDescent="0.15">
      <c r="B40" s="18"/>
      <c r="G40" s="56" t="str">
        <f>IF(伤害表[[#This Row],[暴击数]],伤害表[[#This Row],[暴击数]]/伤害表[[#This Row],[次数]],"")</f>
        <v/>
      </c>
      <c r="H40" s="57" t="str">
        <f>IF(伤害表[[#This Row],[总伤害]],伤害表[[#This Row],[总伤害]]/L$32,"")</f>
        <v/>
      </c>
      <c r="BA40" s="60" t="str">
        <f>武器!$A40</f>
        <v>启迪</v>
      </c>
      <c r="BL40" s="60" t="str">
        <f>手指!A40</f>
        <v>抛光的屠龙者的徽记</v>
      </c>
    </row>
    <row r="41" spans="2:65" x14ac:dyDescent="0.15">
      <c r="B41" s="18"/>
      <c r="C41" s="18" t="s">
        <v>566</v>
      </c>
      <c r="D41">
        <f>SUM(D32:D40)</f>
        <v>35742246</v>
      </c>
      <c r="G41" s="56" t="str">
        <f>IF(伤害表[[#This Row],[暴击数]],伤害表[[#This Row],[暴击数]]/伤害表[[#This Row],[次数]],"")</f>
        <v/>
      </c>
      <c r="H41" s="57">
        <f>IF(伤害表[[#This Row],[总伤害]],伤害表[[#This Row],[总伤害]]/L$32,"")</f>
        <v>7148.4492</v>
      </c>
      <c r="BA41" s="60" t="str">
        <f>武器!$A41</f>
        <v>暴怒角斗士的拯救</v>
      </c>
      <c r="BL41" s="60" t="str">
        <f>手指!A41</f>
        <v>愈心者指环</v>
      </c>
    </row>
    <row r="42" spans="2:65" x14ac:dyDescent="0.15">
      <c r="D42" s="61"/>
      <c r="G42" s="56"/>
      <c r="H42" s="61"/>
      <c r="I42" s="61"/>
      <c r="BA42" s="60" t="str">
        <f>武器!$A42</f>
        <v>暴怒角斗士的木槌</v>
      </c>
      <c r="BL42" s="60" t="str">
        <f>手指!A42</f>
        <v>唤魔者指环</v>
      </c>
    </row>
    <row r="43" spans="2:65" x14ac:dyDescent="0.15">
      <c r="D43" s="61"/>
      <c r="G43" s="56"/>
      <c r="H43" s="61"/>
      <c r="I43" s="61"/>
      <c r="BA43" s="60" t="str">
        <f>武器!$A43</f>
        <v>哀难的终结(H)</v>
      </c>
      <c r="BL43" s="60"/>
    </row>
    <row r="44" spans="2:65" x14ac:dyDescent="0.15">
      <c r="BA44" s="60" t="str">
        <f>武器!$A44</f>
        <v>哀难的终结</v>
      </c>
      <c r="BL44" s="60"/>
    </row>
    <row r="45" spans="2:65" x14ac:dyDescent="0.15">
      <c r="BA45" s="60" t="str">
        <f>武器!$A45</f>
        <v>银色治愈者</v>
      </c>
    </row>
    <row r="46" spans="2:65" x14ac:dyDescent="0.15">
      <c r="BA46" s="60" t="str">
        <f>武器!$A46</f>
        <v>碎心者</v>
      </c>
    </row>
    <row r="47" spans="2:65" x14ac:dyDescent="0.15">
      <c r="BA47" s="60" t="str">
        <f>武器!$A47</f>
        <v>暴怒角斗士的魔刃</v>
      </c>
    </row>
    <row r="48" spans="2:65" x14ac:dyDescent="0.15">
      <c r="BA48" s="60" t="str">
        <f>武器!$A48</f>
        <v>狂乱之刃(H)</v>
      </c>
    </row>
    <row r="49" spans="53:53" x14ac:dyDescent="0.15">
      <c r="BA49" s="60" t="str">
        <f>武器!$A49</f>
        <v>砺亮的秘法之牙</v>
      </c>
    </row>
    <row r="50" spans="53:53" x14ac:dyDescent="0.15">
      <c r="BA50" s="60" t="str">
        <f>武器!$A50</f>
        <v>银色信徒之刃</v>
      </c>
    </row>
    <row r="51" spans="53:53" x14ac:dyDescent="0.15">
      <c r="BA51" s="60" t="str">
        <f>武器!$A51</f>
        <v>狂乱之刃</v>
      </c>
    </row>
    <row r="52" spans="53:53" x14ac:dyDescent="0.15">
      <c r="BA52" s="60"/>
    </row>
    <row r="53" spans="53:53" x14ac:dyDescent="0.15">
      <c r="BA53" s="60"/>
    </row>
    <row r="54" spans="53:53" x14ac:dyDescent="0.15">
      <c r="BA54" s="60"/>
    </row>
    <row r="55" spans="53:53" x14ac:dyDescent="0.15">
      <c r="BA55" s="60"/>
    </row>
    <row r="56" spans="53:53" x14ac:dyDescent="0.15">
      <c r="BA56" s="60"/>
    </row>
    <row r="57" spans="53:53" x14ac:dyDescent="0.15">
      <c r="BA57" s="60"/>
    </row>
    <row r="58" spans="53:53" x14ac:dyDescent="0.15">
      <c r="BA58" s="60"/>
    </row>
    <row r="59" spans="53:53" x14ac:dyDescent="0.15">
      <c r="BA59" s="60"/>
    </row>
    <row r="60" spans="53:53" x14ac:dyDescent="0.15">
      <c r="BA60" s="60"/>
    </row>
    <row r="61" spans="53:53" x14ac:dyDescent="0.15">
      <c r="BA61" s="60"/>
    </row>
    <row r="62" spans="53:53" x14ac:dyDescent="0.15">
      <c r="BA62" s="60"/>
    </row>
    <row r="63" spans="53:53" x14ac:dyDescent="0.15">
      <c r="BA63" s="60"/>
    </row>
    <row r="64" spans="53:53" x14ac:dyDescent="0.15">
      <c r="BA64" s="60"/>
    </row>
    <row r="65" spans="53:53" x14ac:dyDescent="0.15">
      <c r="BA65" s="60"/>
    </row>
    <row r="66" spans="53:53" x14ac:dyDescent="0.15">
      <c r="BA66" s="60"/>
    </row>
    <row r="67" spans="53:53" x14ac:dyDescent="0.15">
      <c r="BA67" s="60"/>
    </row>
    <row r="68" spans="53:53" x14ac:dyDescent="0.15">
      <c r="BA68" s="60"/>
    </row>
    <row r="69" spans="53:53" x14ac:dyDescent="0.15">
      <c r="BA69" s="60"/>
    </row>
    <row r="70" spans="53:53" x14ac:dyDescent="0.15">
      <c r="BA70" s="60"/>
    </row>
    <row r="71" spans="53:53" x14ac:dyDescent="0.15">
      <c r="BA71" s="60"/>
    </row>
    <row r="72" spans="53:53" x14ac:dyDescent="0.15">
      <c r="BA72" s="60"/>
    </row>
    <row r="73" spans="53:53" x14ac:dyDescent="0.15">
      <c r="BA73" s="60"/>
    </row>
    <row r="74" spans="53:53" x14ac:dyDescent="0.15">
      <c r="BA74" s="60"/>
    </row>
    <row r="75" spans="53:53" x14ac:dyDescent="0.15">
      <c r="BA75" s="60"/>
    </row>
    <row r="76" spans="53:53" x14ac:dyDescent="0.15">
      <c r="BA76" s="60"/>
    </row>
    <row r="77" spans="53:53" x14ac:dyDescent="0.15">
      <c r="BA77" s="60"/>
    </row>
    <row r="78" spans="53:53" x14ac:dyDescent="0.15">
      <c r="BA78" s="60"/>
    </row>
    <row r="79" spans="53:53" x14ac:dyDescent="0.15">
      <c r="BA79" s="60"/>
    </row>
    <row r="80" spans="53:53" x14ac:dyDescent="0.15">
      <c r="BA80" s="60"/>
    </row>
    <row r="81" spans="53:53" x14ac:dyDescent="0.15">
      <c r="BA81" s="60"/>
    </row>
    <row r="82" spans="53:53" x14ac:dyDescent="0.15">
      <c r="BA82" s="60"/>
    </row>
    <row r="83" spans="53:53" x14ac:dyDescent="0.15">
      <c r="BA83" s="60"/>
    </row>
    <row r="84" spans="53:53" x14ac:dyDescent="0.15">
      <c r="BA84" s="60"/>
    </row>
    <row r="85" spans="53:53" x14ac:dyDescent="0.15">
      <c r="BA85" s="60"/>
    </row>
    <row r="86" spans="53:53" x14ac:dyDescent="0.15">
      <c r="BA86" s="60"/>
    </row>
    <row r="87" spans="53:53" x14ac:dyDescent="0.15">
      <c r="BA87" s="60"/>
    </row>
    <row r="88" spans="53:53" x14ac:dyDescent="0.15">
      <c r="BA88" s="60"/>
    </row>
    <row r="89" spans="53:53" x14ac:dyDescent="0.15">
      <c r="BA89" s="60"/>
    </row>
    <row r="90" spans="53:53" x14ac:dyDescent="0.15">
      <c r="BA90" s="60"/>
    </row>
    <row r="91" spans="53:53" x14ac:dyDescent="0.15">
      <c r="BA91" s="60"/>
    </row>
    <row r="92" spans="53:53" x14ac:dyDescent="0.15">
      <c r="BA92" s="60"/>
    </row>
    <row r="93" spans="53:53" x14ac:dyDescent="0.15">
      <c r="BA93" s="60"/>
    </row>
    <row r="94" spans="53:53" x14ac:dyDescent="0.15">
      <c r="BA94" s="60"/>
    </row>
    <row r="95" spans="53:53" x14ac:dyDescent="0.15">
      <c r="BA95" s="60"/>
    </row>
    <row r="96" spans="53:53" x14ac:dyDescent="0.15">
      <c r="BA96" s="60"/>
    </row>
    <row r="97" spans="53:53" x14ac:dyDescent="0.15">
      <c r="BA97" s="60"/>
    </row>
    <row r="98" spans="53:53" x14ac:dyDescent="0.15">
      <c r="BA98" s="60"/>
    </row>
    <row r="99" spans="53:53" x14ac:dyDescent="0.15">
      <c r="BA99" s="60"/>
    </row>
    <row r="100" spans="53:53" x14ac:dyDescent="0.15">
      <c r="BA100" s="60"/>
    </row>
  </sheetData>
  <phoneticPr fontId="1" type="noConversion"/>
  <dataValidations count="31">
    <dataValidation type="list" allowBlank="1" showInputMessage="1" showErrorMessage="1" sqref="C3">
      <formula1>$BB$2:$BB$21</formula1>
    </dataValidation>
    <dataValidation type="list" allowBlank="1" showInputMessage="1" showErrorMessage="1" sqref="C4">
      <formula1>$BC$2:$BC$23</formula1>
    </dataValidation>
    <dataValidation type="list" allowBlank="1" showInputMessage="1" showErrorMessage="1" sqref="C5">
      <formula1>$BD$2:$BD$19</formula1>
    </dataValidation>
    <dataValidation type="list" allowBlank="1" showInputMessage="1" showErrorMessage="1" sqref="C6">
      <formula1>$BE$2:$BE$30</formula1>
    </dataValidation>
    <dataValidation type="list" allowBlank="1" showInputMessage="1" showErrorMessage="1" sqref="C7">
      <formula1>$BF$2:$BF$28</formula1>
    </dataValidation>
    <dataValidation type="list" allowBlank="1" showInputMessage="1" showErrorMessage="1" sqref="C8">
      <formula1>$BG$2:$BG$18</formula1>
    </dataValidation>
    <dataValidation type="list" allowBlank="1" showInputMessage="1" showErrorMessage="1" sqref="C9">
      <formula1>$BH$2:$BH$24</formula1>
    </dataValidation>
    <dataValidation type="list" allowBlank="1" showInputMessage="1" showErrorMessage="1" sqref="C10">
      <formula1>$BI$2:$BI$20</formula1>
    </dataValidation>
    <dataValidation type="list" allowBlank="1" showInputMessage="1" showErrorMessage="1" sqref="C11">
      <formula1>$BJ$2:$BJ$24</formula1>
    </dataValidation>
    <dataValidation type="list" allowBlank="1" showInputMessage="1" showErrorMessage="1" sqref="C12">
      <formula1>$BK$2:$BK$16</formula1>
    </dataValidation>
    <dataValidation type="list" allowBlank="1" showInputMessage="1" showErrorMessage="1" sqref="C18">
      <formula1>$BN$2:$BN$17</formula1>
    </dataValidation>
    <dataValidation type="list" allowBlank="1" showInputMessage="1" showErrorMessage="1" sqref="C17">
      <formula1>$BA$2:$BA$51</formula1>
    </dataValidation>
    <dataValidation type="list" allowBlank="1" showInputMessage="1" showErrorMessage="1" sqref="K3:M20">
      <formula1>$BR$2:$BR$16</formula1>
    </dataValidation>
    <dataValidation type="list" allowBlank="1" showInputMessage="1" showErrorMessage="1" sqref="N3">
      <formula1>$BT$2:$BT$4</formula1>
    </dataValidation>
    <dataValidation type="list" allowBlank="1" showInputMessage="1" showErrorMessage="1" sqref="N5">
      <formula1>$BU$2:$BU$3</formula1>
    </dataValidation>
    <dataValidation type="list" allowBlank="1" showInputMessage="1" showErrorMessage="1" sqref="N6">
      <formula1>$BV$2:$BV$5</formula1>
    </dataValidation>
    <dataValidation type="list" allowBlank="1" showInputMessage="1" showErrorMessage="1" sqref="N7">
      <formula1>$BW$2:$BW$3</formula1>
    </dataValidation>
    <dataValidation type="list" allowBlank="1" showInputMessage="1" showErrorMessage="1" sqref="N8">
      <formula1>$BX$2:$BX$4</formula1>
    </dataValidation>
    <dataValidation type="list" allowBlank="1" showInputMessage="1" showErrorMessage="1" sqref="N9">
      <formula1>$CB$2:$CB$5</formula1>
    </dataValidation>
    <dataValidation type="list" allowBlank="1" showInputMessage="1" showErrorMessage="1" sqref="N11">
      <formula1>$BY$2:$BY$3</formula1>
    </dataValidation>
    <dataValidation type="list" allowBlank="1" showInputMessage="1" showErrorMessage="1" sqref="N12">
      <formula1>$BZ$2:$BZ$4</formula1>
    </dataValidation>
    <dataValidation type="list" allowBlank="1" showInputMessage="1" showErrorMessage="1" sqref="N17">
      <formula1>$BS$2:$BS$4</formula1>
    </dataValidation>
    <dataValidation type="list" allowBlank="1" showInputMessage="1" showErrorMessage="1" sqref="C20">
      <formula1>$BP$2:$BP$6</formula1>
    </dataValidation>
    <dataValidation type="list" allowBlank="1" showInputMessage="1" showErrorMessage="1" sqref="C22">
      <formula1>$BQ$2:$BQ$8</formula1>
    </dataValidation>
    <dataValidation type="list" allowBlank="1" showInputMessage="1" showErrorMessage="1" sqref="C13:C14">
      <formula1>$BL$2:$BL$42</formula1>
    </dataValidation>
    <dataValidation type="list" allowBlank="1" showInputMessage="1" showErrorMessage="1" sqref="C15:C16">
      <formula1>$BM$2:$BM$34</formula1>
    </dataValidation>
    <dataValidation type="list" allowBlank="1" showInputMessage="1" showErrorMessage="1" sqref="N13:N14">
      <formula1>$CA$2:$CA$3</formula1>
    </dataValidation>
    <dataValidation type="whole" allowBlank="1" showInputMessage="1" showErrorMessage="1" sqref="L32">
      <formula1>20</formula1>
      <formula2>2000000</formula2>
    </dataValidation>
    <dataValidation type="whole" allowBlank="1" showInputMessage="1" showErrorMessage="1" sqref="L33">
      <formula1>0</formula1>
      <formula2>1000</formula2>
    </dataValidation>
    <dataValidation type="list" allowBlank="1" showInputMessage="1" showErrorMessage="1" sqref="L34:L36">
      <formula1>$Q$31:$Q$32</formula1>
    </dataValidation>
    <dataValidation type="list" allowBlank="1" showInputMessage="1" showErrorMessage="1" sqref="C19">
      <formula1>$BO$2:$BO$19</formula1>
    </dataValidation>
  </dataValidations>
  <pageMargins left="0.7" right="0.7" top="0.75" bottom="0.75" header="0.3" footer="0.3"/>
  <pageSetup paperSize="9" orientation="portrait" r:id="rId1"/>
  <ignoredErrors>
    <ignoredError sqref="O4 O5:O20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CalaualteNow">
                <anchor moveWithCells="1" sizeWithCells="1">
                  <from>
                    <xdr:col>10</xdr:col>
                    <xdr:colOff>752475</xdr:colOff>
                    <xdr:row>37</xdr:row>
                    <xdr:rowOff>95250</xdr:rowOff>
                  </from>
                  <to>
                    <xdr:col>12</xdr:col>
                    <xdr:colOff>876300</xdr:colOff>
                    <xdr:row>40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6"/>
  <sheetViews>
    <sheetView workbookViewId="0">
      <selection activeCell="H19" sqref="H19"/>
    </sheetView>
  </sheetViews>
  <sheetFormatPr defaultRowHeight="13.5" x14ac:dyDescent="0.15"/>
  <sheetData>
    <row r="1" spans="1:10" x14ac:dyDescent="0.15">
      <c r="A1" s="23" t="s">
        <v>446</v>
      </c>
      <c r="B1" s="23" t="s">
        <v>447</v>
      </c>
      <c r="C1" s="23" t="s">
        <v>448</v>
      </c>
      <c r="D1" s="23" t="s">
        <v>449</v>
      </c>
      <c r="F1" s="23" t="s">
        <v>450</v>
      </c>
      <c r="G1" s="23" t="s">
        <v>451</v>
      </c>
      <c r="H1" s="23" t="s">
        <v>452</v>
      </c>
      <c r="I1" s="24" t="s">
        <v>453</v>
      </c>
    </row>
    <row r="2" spans="1:10" x14ac:dyDescent="0.15">
      <c r="A2" s="23" t="s">
        <v>454</v>
      </c>
      <c r="B2" s="25">
        <f>人物属性!F23</f>
        <v>3150</v>
      </c>
      <c r="C2" s="26">
        <v>1</v>
      </c>
      <c r="D2" s="26">
        <f>属性表[[#This Row],[数值]]*属性表[[#This Row],[效用]]</f>
        <v>3150</v>
      </c>
      <c r="F2" s="23" t="s">
        <v>455</v>
      </c>
      <c r="G2" s="27">
        <f>1.5/(1+$B$5/3279)</f>
        <v>1.1425087108013938</v>
      </c>
      <c r="H2" s="27">
        <f>技能表[[#This Row],[CD]]+$B$34/1000</f>
        <v>1.1425087108013938</v>
      </c>
      <c r="I2" s="24">
        <f>技能表[[#This Row],[CD]]*2</f>
        <v>2.2850174216027876</v>
      </c>
      <c r="J2" s="59" t="s">
        <v>572</v>
      </c>
    </row>
    <row r="3" spans="1:10" x14ac:dyDescent="0.15">
      <c r="A3" s="23" t="s">
        <v>440</v>
      </c>
      <c r="B3" s="25">
        <f>人物属性!I23</f>
        <v>292</v>
      </c>
      <c r="C3" s="26">
        <v>1.58</v>
      </c>
      <c r="D3" s="26">
        <f>IF(属性表[[#This Row],[数值]]&gt;289,289*属性表[[#This Row],[效用]],属性表[[#This Row],[数值]]*属性表[[#This Row],[效用]])</f>
        <v>456.62</v>
      </c>
      <c r="F3" s="23" t="s">
        <v>456</v>
      </c>
      <c r="G3" s="27">
        <f t="shared" ref="G3:G7" si="0">1.5/(1+$B$5/3279)</f>
        <v>1.1425087108013938</v>
      </c>
      <c r="H3" s="27">
        <f>技能表[[#This Row],[CD]]+$B$34/1000</f>
        <v>1.1425087108013938</v>
      </c>
      <c r="I3" s="24">
        <v>3</v>
      </c>
      <c r="J3" s="59" t="s">
        <v>573</v>
      </c>
    </row>
    <row r="4" spans="1:10" x14ac:dyDescent="0.15">
      <c r="A4" s="23" t="s">
        <v>457</v>
      </c>
      <c r="B4" s="25">
        <f>人物属性!H23</f>
        <v>981</v>
      </c>
      <c r="C4" s="26">
        <v>0.83</v>
      </c>
      <c r="D4" s="26">
        <f>属性表[[#This Row],[数值]]*属性表[[#This Row],[效用]]</f>
        <v>814.2299999999999</v>
      </c>
      <c r="F4" s="23" t="s">
        <v>458</v>
      </c>
      <c r="G4" s="27">
        <f t="shared" si="0"/>
        <v>1.1425087108013938</v>
      </c>
      <c r="H4" s="27">
        <f>技能表[[#This Row],[CD]]+$B$34/1000</f>
        <v>1.1425087108013938</v>
      </c>
      <c r="I4" s="24" t="s">
        <v>459</v>
      </c>
    </row>
    <row r="5" spans="1:10" x14ac:dyDescent="0.15">
      <c r="A5" s="23" t="s">
        <v>460</v>
      </c>
      <c r="B5" s="25">
        <f>人物属性!G23</f>
        <v>1026</v>
      </c>
      <c r="C5" s="26">
        <v>0.98</v>
      </c>
      <c r="D5" s="26">
        <f>属性表[[#This Row],[数值]]*属性表[[#This Row],[效用]]</f>
        <v>1005.48</v>
      </c>
      <c r="F5" s="23" t="s">
        <v>461</v>
      </c>
      <c r="G5" s="27">
        <f>2.5/(1+$B$5/3279)</f>
        <v>1.9041811846689898</v>
      </c>
      <c r="H5" s="27">
        <f>技能表[[#This Row],[CD]]+$B$34/1000</f>
        <v>1.9041811846689898</v>
      </c>
      <c r="I5" s="24" t="s">
        <v>459</v>
      </c>
    </row>
    <row r="6" spans="1:10" x14ac:dyDescent="0.15">
      <c r="A6" s="23" t="s">
        <v>462</v>
      </c>
      <c r="B6" s="25">
        <f>人物属性!D23</f>
        <v>1435</v>
      </c>
      <c r="C6" s="26">
        <v>0.23</v>
      </c>
      <c r="D6" s="26">
        <f>属性表[[#This Row],[数值]]*属性表[[#This Row],[效用]]</f>
        <v>330.05</v>
      </c>
      <c r="F6" s="23" t="s">
        <v>463</v>
      </c>
      <c r="G6" s="27">
        <f t="shared" si="0"/>
        <v>1.1425087108013938</v>
      </c>
      <c r="H6" s="27">
        <f>技能表[[#This Row],[CD]]+$B$34/1000</f>
        <v>1.1425087108013938</v>
      </c>
      <c r="I6" s="24">
        <f>技能表[[#This Row],[CD]]*2</f>
        <v>2.2850174216027876</v>
      </c>
    </row>
    <row r="7" spans="1:10" x14ac:dyDescent="0.15">
      <c r="A7" s="23" t="s">
        <v>464</v>
      </c>
      <c r="B7" s="25">
        <f>人物属性!E23</f>
        <v>407</v>
      </c>
      <c r="C7" s="26">
        <v>0.47</v>
      </c>
      <c r="D7" s="26">
        <f>属性表[[#This Row],[数值]]*属性表[[#This Row],[效用]]</f>
        <v>191.29</v>
      </c>
      <c r="F7" s="23" t="s">
        <v>465</v>
      </c>
      <c r="G7" s="27">
        <f t="shared" si="0"/>
        <v>1.1425087108013938</v>
      </c>
      <c r="H7" s="27">
        <f>技能表[[#This Row],[CD]]+$B$34/1000</f>
        <v>1.1425087108013938</v>
      </c>
      <c r="I7" s="24" t="s">
        <v>459</v>
      </c>
    </row>
    <row r="8" spans="1:10" x14ac:dyDescent="0.15">
      <c r="A8" s="28" t="s">
        <v>466</v>
      </c>
      <c r="B8" s="29"/>
      <c r="C8" s="29"/>
      <c r="D8" s="29">
        <f>SUM(属性表[PP])</f>
        <v>5947.67</v>
      </c>
      <c r="F8" s="24" t="s">
        <v>467</v>
      </c>
      <c r="G8" s="30">
        <f>2/(1+$B$5/3279)</f>
        <v>1.5233449477351917</v>
      </c>
      <c r="H8" s="30">
        <f>技能表[[#This Row],[CD]]+$B$34/1000</f>
        <v>1.5233449477351917</v>
      </c>
      <c r="I8" s="31" t="s">
        <v>459</v>
      </c>
    </row>
    <row r="10" spans="1:10" x14ac:dyDescent="0.15">
      <c r="A10" s="23" t="s">
        <v>468</v>
      </c>
      <c r="B10" s="23" t="s">
        <v>469</v>
      </c>
      <c r="C10" s="23" t="s">
        <v>470</v>
      </c>
      <c r="F10" s="23" t="s">
        <v>471</v>
      </c>
      <c r="G10" s="23" t="s">
        <v>472</v>
      </c>
      <c r="H10" s="23" t="s">
        <v>470</v>
      </c>
    </row>
    <row r="11" spans="1:10" x14ac:dyDescent="0.15">
      <c r="A11" s="23" t="s">
        <v>473</v>
      </c>
      <c r="B11" s="32">
        <v>0</v>
      </c>
      <c r="C11" s="26">
        <f>IF(SUM(B11:B12)&gt;5,"套装数错误",IF(套装效果表[[#This Row],[件数]]&gt;3,147,IF(套装效果表[[#This Row],[件数]]&gt;1,78,0)))</f>
        <v>0</v>
      </c>
      <c r="F11" s="23" t="s">
        <v>474</v>
      </c>
      <c r="G11" s="32" t="s">
        <v>389</v>
      </c>
      <c r="H11" s="26">
        <f>IF(专业修正表[[#This Row],[有/无]]="有",73.75,0)</f>
        <v>0</v>
      </c>
    </row>
    <row r="12" spans="1:10" x14ac:dyDescent="0.15">
      <c r="A12" s="23" t="s">
        <v>475</v>
      </c>
      <c r="B12" s="32">
        <v>0</v>
      </c>
      <c r="C12" s="26">
        <f>IF(SUM(B11:B12)&gt;5,"套装数错误",IF(套装效果表[[#This Row],[件数]]&gt;3,165,IF(套装效果表[[#This Row],[件数]]&gt;1,84,0)))</f>
        <v>0</v>
      </c>
      <c r="F12" s="23" t="s">
        <v>476</v>
      </c>
      <c r="G12" s="32" t="s">
        <v>389</v>
      </c>
      <c r="H12" s="26">
        <v>0</v>
      </c>
    </row>
    <row r="13" spans="1:10" x14ac:dyDescent="0.15">
      <c r="A13" s="28" t="s">
        <v>477</v>
      </c>
      <c r="B13" s="29"/>
      <c r="C13" s="33">
        <f>SUM(套装效果表[PP])+D8</f>
        <v>5947.67</v>
      </c>
      <c r="F13" s="28" t="s">
        <v>478</v>
      </c>
      <c r="G13" s="29"/>
      <c r="H13" s="34">
        <f>SUM(专业修正表[PP])+C13</f>
        <v>5947.67</v>
      </c>
    </row>
    <row r="15" spans="1:10" x14ac:dyDescent="0.15">
      <c r="A15" s="23" t="s">
        <v>479</v>
      </c>
      <c r="B15" s="23" t="s">
        <v>480</v>
      </c>
      <c r="C15" s="23" t="s">
        <v>481</v>
      </c>
      <c r="D15" s="23" t="s">
        <v>482</v>
      </c>
      <c r="E15" s="23" t="s">
        <v>483</v>
      </c>
      <c r="G15" s="23" t="s">
        <v>484</v>
      </c>
      <c r="H15" s="23" t="s">
        <v>485</v>
      </c>
    </row>
    <row r="16" spans="1:10" x14ac:dyDescent="0.15">
      <c r="A16" s="23">
        <v>1</v>
      </c>
      <c r="B16" s="23" t="s">
        <v>486</v>
      </c>
      <c r="C16" s="32" t="s">
        <v>455</v>
      </c>
      <c r="D16" s="27">
        <f>IF(起手顺序表[[#This Row],[起手顺序]]="",0,VLOOKUP(起手顺序表[[#This Row],[起手顺序]],技能表[],3,FALSE))</f>
        <v>1.1425087108013938</v>
      </c>
      <c r="E16" s="27">
        <f>起手顺序表[[#This Row],[耗时]]</f>
        <v>1.1425087108013938</v>
      </c>
      <c r="G16" s="23" t="s">
        <v>487</v>
      </c>
      <c r="H16" s="32">
        <v>5</v>
      </c>
    </row>
    <row r="17" spans="1:9" x14ac:dyDescent="0.15">
      <c r="A17" s="23">
        <v>2</v>
      </c>
      <c r="B17" s="23" t="s">
        <v>486</v>
      </c>
      <c r="C17" s="32" t="s">
        <v>488</v>
      </c>
      <c r="D17" s="27">
        <f>IF(起手顺序表[[#This Row],[起手顺序]]="",0,VLOOKUP(起手顺序表[[#This Row],[起手顺序]],技能表[],3,FALSE))</f>
        <v>1.1425087108013938</v>
      </c>
      <c r="E17" s="27">
        <f>起手顺序表[[#This Row],[耗时]]+E16</f>
        <v>2.2850174216027876</v>
      </c>
    </row>
    <row r="18" spans="1:9" x14ac:dyDescent="0.15">
      <c r="A18" s="23">
        <v>3</v>
      </c>
      <c r="B18" s="23" t="s">
        <v>486</v>
      </c>
      <c r="C18" s="32" t="s">
        <v>489</v>
      </c>
      <c r="D18" s="27">
        <f>IF(起手顺序表[[#This Row],[起手顺序]]="",0,VLOOKUP(起手顺序表[[#This Row],[起手顺序]],技能表[],3,FALSE))</f>
        <v>1.1425087108013938</v>
      </c>
      <c r="E18" s="27">
        <f>起手顺序表[[#This Row],[耗时]]+E17</f>
        <v>3.4275261324041812</v>
      </c>
      <c r="G18" s="23" t="s">
        <v>490</v>
      </c>
      <c r="H18" s="23" t="s">
        <v>491</v>
      </c>
    </row>
    <row r="19" spans="1:9" x14ac:dyDescent="0.15">
      <c r="A19" s="23">
        <v>4</v>
      </c>
      <c r="B19" s="23" t="s">
        <v>486</v>
      </c>
      <c r="C19" s="32" t="s">
        <v>461</v>
      </c>
      <c r="D19" s="27">
        <f>IF(起手顺序表[[#This Row],[起手顺序]]="",0,VLOOKUP(起手顺序表[[#This Row],[起手顺序]],技能表[],3,FALSE))</f>
        <v>1.9041811846689898</v>
      </c>
      <c r="E19" s="27">
        <f>起手顺序表[[#This Row],[耗时]]+E18</f>
        <v>5.331707317073171</v>
      </c>
      <c r="G19" s="23" t="s">
        <v>492</v>
      </c>
      <c r="H19" s="32">
        <v>0</v>
      </c>
    </row>
    <row r="20" spans="1:9" x14ac:dyDescent="0.15">
      <c r="A20" s="23">
        <v>5</v>
      </c>
      <c r="B20" s="23" t="s">
        <v>486</v>
      </c>
      <c r="C20" s="32" t="s">
        <v>456</v>
      </c>
      <c r="D20" s="27">
        <f>IF(起手顺序表[[#This Row],[起手顺序]]="",0,VLOOKUP(起手顺序表[[#This Row],[起手顺序]],技能表[],3,FALSE))</f>
        <v>1.1425087108013938</v>
      </c>
      <c r="E20" s="27">
        <f>起手顺序表[[#This Row],[耗时]]+E19</f>
        <v>6.4742160278745651</v>
      </c>
      <c r="G20" s="23" t="s">
        <v>493</v>
      </c>
      <c r="H20" s="32">
        <v>0</v>
      </c>
    </row>
    <row r="21" spans="1:9" x14ac:dyDescent="0.15">
      <c r="A21" s="23">
        <v>6</v>
      </c>
      <c r="B21" s="23"/>
      <c r="C21" s="32"/>
      <c r="D21" s="27">
        <f>IF(起手顺序表[[#This Row],[起手顺序]]="",0,VLOOKUP(起手顺序表[[#This Row],[起手顺序]],技能表[],3,FALSE))</f>
        <v>0</v>
      </c>
      <c r="E21" s="27">
        <f>起手顺序表[[#This Row],[耗时]]+E20</f>
        <v>6.4742160278745651</v>
      </c>
      <c r="G21" s="24" t="s">
        <v>494</v>
      </c>
      <c r="H21" s="35">
        <v>0</v>
      </c>
      <c r="I21" s="24"/>
    </row>
    <row r="22" spans="1:9" x14ac:dyDescent="0.15">
      <c r="A22" s="23">
        <v>7</v>
      </c>
      <c r="B22" s="23"/>
      <c r="C22" s="32"/>
      <c r="D22" s="27">
        <f>IF(起手顺序表[[#This Row],[起手顺序]]="",0,VLOOKUP(起手顺序表[[#This Row],[起手顺序]],技能表[],3,FALSE))</f>
        <v>0</v>
      </c>
      <c r="E22" s="27">
        <f>起手顺序表[[#This Row],[耗时]]+E21</f>
        <v>6.4742160278745651</v>
      </c>
      <c r="G22" s="28" t="s">
        <v>466</v>
      </c>
      <c r="H22" s="36">
        <f>SUM(其他技能表[次数])</f>
        <v>0</v>
      </c>
    </row>
    <row r="23" spans="1:9" x14ac:dyDescent="0.15">
      <c r="A23" s="23"/>
      <c r="B23" s="23"/>
      <c r="C23" s="32"/>
    </row>
    <row r="25" spans="1:9" x14ac:dyDescent="0.15">
      <c r="A25" s="23" t="s">
        <v>479</v>
      </c>
      <c r="B25" s="23" t="s">
        <v>495</v>
      </c>
      <c r="C25" s="23" t="s">
        <v>496</v>
      </c>
      <c r="D25" s="23" t="s">
        <v>497</v>
      </c>
      <c r="E25" s="23" t="s">
        <v>498</v>
      </c>
      <c r="F25" s="23" t="s">
        <v>499</v>
      </c>
      <c r="G25" s="23" t="s">
        <v>500</v>
      </c>
      <c r="H25" s="23" t="s">
        <v>501</v>
      </c>
    </row>
    <row r="26" spans="1:9" x14ac:dyDescent="0.15">
      <c r="A26" s="23">
        <v>1</v>
      </c>
      <c r="B26" s="23" t="s">
        <v>502</v>
      </c>
      <c r="C26" s="32">
        <v>327</v>
      </c>
      <c r="D26" s="37">
        <f>TRUNC((B35-VLOOKUP(B29,起手顺序表[[起手顺序]:[累计]],2,FALSE)*(H22+1+C28+C31+C32+IF(B12&gt;1,CEILING(C27/7,1),CEILING(C27/5,1)))+IF(G12="有",(TRUNC(B35/60)+IF(MOD(B35,60)&gt;=12,1,MOD(B35,60)/12))*((G2-1.5/(1+($B$5+340)/3279))*12/1.5),0))/VLOOKUP(单目标测评表[[#This Row],[技能]],技能表[[#All],[技能]:[CD]],2,FALSE)*3)</f>
        <v>333</v>
      </c>
      <c r="E26" s="38">
        <f>单目标测评表[[#This Row],[实际次数]]/单目标测评表[[#This Row],[理论次数]]</f>
        <v>0.98198198198198194</v>
      </c>
      <c r="F26" s="25">
        <v>1069635</v>
      </c>
      <c r="G26" s="23" t="str">
        <f>IF(单目标测评表[[#This Row],[比率]]&gt;0.95,"犀利",IF(单目标测评表[[#This Row],[比率]]&gt;0.9,"优秀","水货"))</f>
        <v>犀利</v>
      </c>
      <c r="H26" s="26">
        <f>单目标测评表[[#This Row],[总伤害]]/单目标测评表[[#This Row],[实际次数]]*(单目标测评表[[#This Row],[理论次数]]-单目标测评表[[#This Row],[实际次数]])/$B$35</f>
        <v>64.278716572492442</v>
      </c>
    </row>
    <row r="27" spans="1:9" x14ac:dyDescent="0.15">
      <c r="A27" s="23">
        <v>2</v>
      </c>
      <c r="B27" s="23" t="s">
        <v>455</v>
      </c>
      <c r="C27" s="32">
        <v>119</v>
      </c>
      <c r="D27" s="37">
        <f>TRUNC(($B$35-VLOOKUP(单目标测评表[[#This Row],[技能]],起手顺序表[[起手顺序]:[累计]],3,FALSE))/VLOOKUP(单目标测评表[[#This Row],[技能]],技能表[[技能]:[每跳时间]],4,FALSE))</f>
        <v>133</v>
      </c>
      <c r="E27" s="38">
        <f>单目标测评表[[#This Row],[实际次数]]/单目标测评表[[#This Row],[理论次数]]</f>
        <v>0.89473684210526316</v>
      </c>
      <c r="F27" s="25">
        <v>454837</v>
      </c>
      <c r="G27" s="23" t="str">
        <f>IF(单目标测评表[[#This Row],[比率]]&gt;0.95,"犀利",IF(单目标测评表[[#This Row],[比率]]&gt;0.9,"优秀","水货"))</f>
        <v>水货</v>
      </c>
      <c r="H27" s="26">
        <f>单目标测评表[[#This Row],[总伤害]]/单目标测评表[[#This Row],[实际次数]]*(单目标测评表[[#This Row],[理论次数]]-单目标测评表[[#This Row],[实际次数]])/$B$35</f>
        <v>175.25279560484586</v>
      </c>
    </row>
    <row r="28" spans="1:9" x14ac:dyDescent="0.15">
      <c r="A28" s="23">
        <v>3</v>
      </c>
      <c r="B28" s="23" t="s">
        <v>458</v>
      </c>
      <c r="C28" s="32">
        <v>40</v>
      </c>
      <c r="D28" s="37">
        <f>CEILING(($B$35-VLOOKUP(单目标测评表[[#This Row],[技能]],起手顺序表[[起手顺序]:[累计]],3,FALSE)+VLOOKUP(单目标测评表[[#This Row],[技能]],起手顺序表[[起手顺序]:[累计]],2,FALSE)-VLOOKUP(单目标测评表[[#This Row],[技能]],起手顺序表[[起手顺序]:[累计]],2,FALSE))/(8-0.5*天赋表[点数]+VLOOKUP(单目标测评表[[#This Row],[技能]],起手顺序表[[起手顺序]:[累计]],2,FALSE)),1)</f>
        <v>46</v>
      </c>
      <c r="E28" s="38">
        <f>单目标测评表[[#This Row],[实际次数]]/单目标测评表[[#This Row],[理论次数]]</f>
        <v>0.86956521739130432</v>
      </c>
      <c r="F28" s="25">
        <v>164549</v>
      </c>
      <c r="G28" s="39" t="s">
        <v>503</v>
      </c>
      <c r="H28" s="26">
        <f>单目标测评表[[#This Row],[总伤害]]/单目标测评表[[#This Row],[实际次数]]*(单目标测评表[[#This Row],[理论次数]]-单目标测评表[[#This Row],[实际次数]])/$B$35-(单目标测评表[[#This Row],[理论次数]]-单目标测评表[[#This Row],[实际次数]])*H4/H5*3*F26/C26/$B$35</f>
        <v>-34.863868508613294</v>
      </c>
    </row>
    <row r="29" spans="1:9" x14ac:dyDescent="0.15">
      <c r="A29" s="23">
        <v>4</v>
      </c>
      <c r="B29" s="23" t="s">
        <v>456</v>
      </c>
      <c r="C29" s="32">
        <v>100</v>
      </c>
      <c r="D29" s="37">
        <f>TRUNC((B35-VLOOKUP(单目标测评表[[#This Row],[技能]],起手顺序表[[起手顺序]:[累计]],3,FALSE)+VLOOKUP(单目标测评表[[#This Row],[技能]],起手顺序表[[起手顺序]:[累计]],2,FALSE))/3)</f>
        <v>100</v>
      </c>
      <c r="E29" s="38">
        <f>单目标测评表[[#This Row],[实际次数]]/单目标测评表[[#This Row],[理论次数]]</f>
        <v>1</v>
      </c>
      <c r="F29" s="25">
        <v>221212</v>
      </c>
      <c r="G29" s="40" t="s">
        <v>503</v>
      </c>
      <c r="H29" s="26">
        <f>单目标测评表[[#This Row],[总伤害]]/单目标测评表[[#This Row],[实际次数]]*(单目标测评表[[#This Row],[理论次数]]-单目标测评表[[#This Row],[实际次数]])/$B$35</f>
        <v>0</v>
      </c>
    </row>
    <row r="30" spans="1:9" x14ac:dyDescent="0.15">
      <c r="A30" s="23">
        <v>5</v>
      </c>
      <c r="B30" s="23" t="s">
        <v>463</v>
      </c>
      <c r="C30" s="32">
        <v>123</v>
      </c>
      <c r="D30" s="37">
        <f>TRUNC(($B$35-VLOOKUP(单目标测评表[[#This Row],[技能]],起手顺序表[[起手顺序]:[累计]],3,FALSE)+VLOOKUP(单目标测评表[[#This Row],[技能]],起手顺序表[[起手顺序]:[累计]],2,FALSE))/VLOOKUP(单目标测评表[[#This Row],[技能]],技能表[[技能]:[每跳时间]],4,FALSE))</f>
        <v>133</v>
      </c>
      <c r="E30" s="38">
        <f>单目标测评表[[#This Row],[实际次数]]/单目标测评表[[#This Row],[理论次数]]</f>
        <v>0.92481203007518797</v>
      </c>
      <c r="F30" s="25">
        <v>277233</v>
      </c>
      <c r="G30" s="23" t="str">
        <f>IF(单目标测评表[[#This Row],[比率]]&gt;0.95,"犀利",IF(单目标测评表[[#This Row],[比率]]&gt;0.9,"优秀","水货"))</f>
        <v>优秀</v>
      </c>
      <c r="H30" s="26">
        <f>单目标测评表[[#This Row],[总伤害]]/单目标测评表[[#This Row],[实际次数]]*(单目标测评表[[#This Row],[理论次数]]-单目标测评表[[#This Row],[实际次数]])/$B$35</f>
        <v>73.818957391401611</v>
      </c>
    </row>
    <row r="31" spans="1:9" x14ac:dyDescent="0.15">
      <c r="A31" s="23">
        <v>6</v>
      </c>
      <c r="B31" s="23" t="s">
        <v>504</v>
      </c>
      <c r="C31" s="32">
        <v>17</v>
      </c>
      <c r="D31" s="37">
        <f>CEILING(($B$35-VLOOKUP(B30,起手顺序表[[起手顺序]:[累计]],3,FALSE)+VLOOKUP(B30,起手顺序表[[起手顺序]:[累计]],2,FALSE))/(8*VLOOKUP(B30,技能表[[技能]:[每跳时间]],4,FALSE)),1)</f>
        <v>17</v>
      </c>
      <c r="E31" s="38">
        <f>单目标测评表[[#This Row],[实际次数]]/单目标测评表[[#This Row],[理论次数]]</f>
        <v>1</v>
      </c>
      <c r="F31" s="25">
        <v>70455</v>
      </c>
      <c r="G31" s="40" t="s">
        <v>503</v>
      </c>
      <c r="H31" s="26">
        <f>单目标测评表[[#This Row],[总伤害]]/单目标测评表[[#This Row],[实际次数]]*(单目标测评表[[#This Row],[理论次数]]-单目标测评表[[#This Row],[实际次数]])/$B$35</f>
        <v>0</v>
      </c>
    </row>
    <row r="32" spans="1:9" x14ac:dyDescent="0.15">
      <c r="A32" s="23">
        <v>7</v>
      </c>
      <c r="B32" s="23" t="s">
        <v>465</v>
      </c>
      <c r="C32" s="32">
        <v>0</v>
      </c>
      <c r="D32" s="40" t="s">
        <v>503</v>
      </c>
      <c r="E32" s="40" t="s">
        <v>503</v>
      </c>
      <c r="F32" s="25">
        <v>0</v>
      </c>
      <c r="G32" s="40" t="s">
        <v>503</v>
      </c>
      <c r="H32" s="26">
        <f>-单目标测评表[[#This Row],[总伤害]]/B35</f>
        <v>0</v>
      </c>
    </row>
    <row r="33" spans="1:8" x14ac:dyDescent="0.15">
      <c r="A33" s="23">
        <v>8</v>
      </c>
      <c r="B33" s="23" t="s">
        <v>505</v>
      </c>
      <c r="C33" s="32">
        <v>0</v>
      </c>
      <c r="D33" s="40" t="s">
        <v>503</v>
      </c>
      <c r="E33" s="40" t="s">
        <v>503</v>
      </c>
      <c r="F33" s="25">
        <v>0</v>
      </c>
      <c r="G33" s="40" t="s">
        <v>503</v>
      </c>
      <c r="H33" s="26">
        <v>0</v>
      </c>
    </row>
    <row r="34" spans="1:8" x14ac:dyDescent="0.15">
      <c r="A34" s="28" t="s">
        <v>506</v>
      </c>
      <c r="B34" s="41">
        <v>0</v>
      </c>
      <c r="C34" s="28"/>
      <c r="D34" s="29" t="s">
        <v>507</v>
      </c>
      <c r="E34" s="41"/>
      <c r="F34" s="29"/>
      <c r="G34" s="28" t="s">
        <v>508</v>
      </c>
      <c r="H34" s="42">
        <f>IF(SUM(H27:H33)&gt;0,SUM(H27:H33),0)+H26</f>
        <v>278.48660106012665</v>
      </c>
    </row>
    <row r="35" spans="1:8" x14ac:dyDescent="0.15">
      <c r="A35" s="28" t="s">
        <v>509</v>
      </c>
      <c r="B35" s="42">
        <f>VLOOKUP(B29,起手顺序表[[起手顺序]:[累计]],3,FALSE)-VLOOKUP(B29,起手顺序表[[起手顺序]:[累计]],2,FALSE)+C29*3</f>
        <v>305.33170731707315</v>
      </c>
      <c r="C35" s="28"/>
      <c r="D35" s="28" t="s">
        <v>510</v>
      </c>
      <c r="E35" s="42">
        <f>SUM(单目标测评表[总伤害])/B35</f>
        <v>7394.9771539948561</v>
      </c>
      <c r="F35" s="28"/>
      <c r="G35" s="28" t="s">
        <v>511</v>
      </c>
      <c r="H35" s="43">
        <f>H34/E36</f>
        <v>3.6292163480497366E-2</v>
      </c>
    </row>
    <row r="36" spans="1:8" x14ac:dyDescent="0.15">
      <c r="A36" s="28" t="s">
        <v>512</v>
      </c>
      <c r="B36" s="42">
        <f>D28*(8-0.5*天赋表[点数]+VLOOKUP(B28,起手顺序表[[起手顺序]:[累计]],2,FALSE))/C28</f>
        <v>7.638885017421603</v>
      </c>
      <c r="C36" s="28"/>
      <c r="D36" s="28" t="s">
        <v>513</v>
      </c>
      <c r="E36" s="42">
        <f>E35+H34</f>
        <v>7673.4637550549824</v>
      </c>
      <c r="F36" s="28"/>
      <c r="G36" s="28"/>
      <c r="H36" s="28"/>
    </row>
  </sheetData>
  <phoneticPr fontId="1" type="noConversion"/>
  <dataValidations count="4">
    <dataValidation type="list" allowBlank="1" showInputMessage="1" showErrorMessage="1" sqref="C16:C22">
      <formula1>$F$2:$F$8</formula1>
    </dataValidation>
    <dataValidation type="list" allowBlank="1" showInputMessage="1" showErrorMessage="1" sqref="B16:B22">
      <formula1>$J$5</formula1>
    </dataValidation>
    <dataValidation type="list" allowBlank="1" showInputMessage="1" showErrorMessage="1" sqref="G13">
      <formula1>$J$3</formula1>
    </dataValidation>
    <dataValidation type="list" allowBlank="1" showInputMessage="1" showErrorMessage="1" sqref="G11:G12">
      <formula1>$J$2:$J$3</formula1>
    </dataValidation>
  </dataValidation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51"/>
  <sheetViews>
    <sheetView workbookViewId="0">
      <selection activeCell="I21" sqref="I21"/>
    </sheetView>
  </sheetViews>
  <sheetFormatPr defaultRowHeight="15" customHeight="1" x14ac:dyDescent="0.15"/>
  <cols>
    <col min="1" max="1" width="35.875" style="4" customWidth="1"/>
    <col min="2" max="5" width="6.5" style="4" customWidth="1"/>
    <col min="6" max="6" width="10.25" style="4" customWidth="1"/>
    <col min="7" max="9" width="6.5" style="4" customWidth="1"/>
    <col min="10" max="10" width="10.75" style="4" customWidth="1"/>
    <col min="11" max="11" width="7.375" style="4" customWidth="1"/>
    <col min="12" max="12" width="7.75" style="4" customWidth="1"/>
    <col min="13" max="13" width="10.375" style="4" customWidth="1"/>
    <col min="14" max="14" width="10.25" style="4" customWidth="1"/>
    <col min="15" max="15" width="24.625" style="4" customWidth="1"/>
    <col min="16" max="16" width="10.25" style="4" customWidth="1"/>
    <col min="17" max="17" width="9.75" style="4" customWidth="1"/>
    <col min="18" max="19" width="9" style="4"/>
    <col min="20" max="20" width="9.625" style="4" bestFit="1" customWidth="1"/>
    <col min="21" max="256" width="9" style="4"/>
    <col min="257" max="257" width="24.625" style="4" customWidth="1"/>
    <col min="258" max="258" width="5.125" style="4" bestFit="1" customWidth="1"/>
    <col min="259" max="259" width="5.125" style="4" customWidth="1"/>
    <col min="260" max="261" width="5.25" style="4" customWidth="1"/>
    <col min="262" max="262" width="9.125" style="4" customWidth="1"/>
    <col min="263" max="266" width="5.125" style="4" customWidth="1"/>
    <col min="267" max="269" width="3.625" style="4" bestFit="1" customWidth="1"/>
    <col min="270" max="270" width="9.125" style="4" customWidth="1"/>
    <col min="271" max="271" width="24.625" style="4" customWidth="1"/>
    <col min="272" max="273" width="9.125" style="4" customWidth="1"/>
    <col min="274" max="512" width="9" style="4"/>
    <col min="513" max="513" width="24.625" style="4" customWidth="1"/>
    <col min="514" max="514" width="5.125" style="4" bestFit="1" customWidth="1"/>
    <col min="515" max="515" width="5.125" style="4" customWidth="1"/>
    <col min="516" max="517" width="5.25" style="4" customWidth="1"/>
    <col min="518" max="518" width="9.125" style="4" customWidth="1"/>
    <col min="519" max="522" width="5.125" style="4" customWidth="1"/>
    <col min="523" max="525" width="3.625" style="4" bestFit="1" customWidth="1"/>
    <col min="526" max="526" width="9.125" style="4" customWidth="1"/>
    <col min="527" max="527" width="24.625" style="4" customWidth="1"/>
    <col min="528" max="529" width="9.125" style="4" customWidth="1"/>
    <col min="530" max="768" width="9" style="4"/>
    <col min="769" max="769" width="24.625" style="4" customWidth="1"/>
    <col min="770" max="770" width="5.125" style="4" bestFit="1" customWidth="1"/>
    <col min="771" max="771" width="5.125" style="4" customWidth="1"/>
    <col min="772" max="773" width="5.25" style="4" customWidth="1"/>
    <col min="774" max="774" width="9.125" style="4" customWidth="1"/>
    <col min="775" max="778" width="5.125" style="4" customWidth="1"/>
    <col min="779" max="781" width="3.625" style="4" bestFit="1" customWidth="1"/>
    <col min="782" max="782" width="9.125" style="4" customWidth="1"/>
    <col min="783" max="783" width="24.625" style="4" customWidth="1"/>
    <col min="784" max="785" width="9.125" style="4" customWidth="1"/>
    <col min="786" max="1024" width="9" style="4"/>
    <col min="1025" max="1025" width="24.625" style="4" customWidth="1"/>
    <col min="1026" max="1026" width="5.125" style="4" bestFit="1" customWidth="1"/>
    <col min="1027" max="1027" width="5.125" style="4" customWidth="1"/>
    <col min="1028" max="1029" width="5.25" style="4" customWidth="1"/>
    <col min="1030" max="1030" width="9.125" style="4" customWidth="1"/>
    <col min="1031" max="1034" width="5.125" style="4" customWidth="1"/>
    <col min="1035" max="1037" width="3.625" style="4" bestFit="1" customWidth="1"/>
    <col min="1038" max="1038" width="9.125" style="4" customWidth="1"/>
    <col min="1039" max="1039" width="24.625" style="4" customWidth="1"/>
    <col min="1040" max="1041" width="9.125" style="4" customWidth="1"/>
    <col min="1042" max="1280" width="9" style="4"/>
    <col min="1281" max="1281" width="24.625" style="4" customWidth="1"/>
    <col min="1282" max="1282" width="5.125" style="4" bestFit="1" customWidth="1"/>
    <col min="1283" max="1283" width="5.125" style="4" customWidth="1"/>
    <col min="1284" max="1285" width="5.25" style="4" customWidth="1"/>
    <col min="1286" max="1286" width="9.125" style="4" customWidth="1"/>
    <col min="1287" max="1290" width="5.125" style="4" customWidth="1"/>
    <col min="1291" max="1293" width="3.625" style="4" bestFit="1" customWidth="1"/>
    <col min="1294" max="1294" width="9.125" style="4" customWidth="1"/>
    <col min="1295" max="1295" width="24.625" style="4" customWidth="1"/>
    <col min="1296" max="1297" width="9.125" style="4" customWidth="1"/>
    <col min="1298" max="1536" width="9" style="4"/>
    <col min="1537" max="1537" width="24.625" style="4" customWidth="1"/>
    <col min="1538" max="1538" width="5.125" style="4" bestFit="1" customWidth="1"/>
    <col min="1539" max="1539" width="5.125" style="4" customWidth="1"/>
    <col min="1540" max="1541" width="5.25" style="4" customWidth="1"/>
    <col min="1542" max="1542" width="9.125" style="4" customWidth="1"/>
    <col min="1543" max="1546" width="5.125" style="4" customWidth="1"/>
    <col min="1547" max="1549" width="3.625" style="4" bestFit="1" customWidth="1"/>
    <col min="1550" max="1550" width="9.125" style="4" customWidth="1"/>
    <col min="1551" max="1551" width="24.625" style="4" customWidth="1"/>
    <col min="1552" max="1553" width="9.125" style="4" customWidth="1"/>
    <col min="1554" max="1792" width="9" style="4"/>
    <col min="1793" max="1793" width="24.625" style="4" customWidth="1"/>
    <col min="1794" max="1794" width="5.125" style="4" bestFit="1" customWidth="1"/>
    <col min="1795" max="1795" width="5.125" style="4" customWidth="1"/>
    <col min="1796" max="1797" width="5.25" style="4" customWidth="1"/>
    <col min="1798" max="1798" width="9.125" style="4" customWidth="1"/>
    <col min="1799" max="1802" width="5.125" style="4" customWidth="1"/>
    <col min="1803" max="1805" width="3.625" style="4" bestFit="1" customWidth="1"/>
    <col min="1806" max="1806" width="9.125" style="4" customWidth="1"/>
    <col min="1807" max="1807" width="24.625" style="4" customWidth="1"/>
    <col min="1808" max="1809" width="9.125" style="4" customWidth="1"/>
    <col min="1810" max="2048" width="9" style="4"/>
    <col min="2049" max="2049" width="24.625" style="4" customWidth="1"/>
    <col min="2050" max="2050" width="5.125" style="4" bestFit="1" customWidth="1"/>
    <col min="2051" max="2051" width="5.125" style="4" customWidth="1"/>
    <col min="2052" max="2053" width="5.25" style="4" customWidth="1"/>
    <col min="2054" max="2054" width="9.125" style="4" customWidth="1"/>
    <col min="2055" max="2058" width="5.125" style="4" customWidth="1"/>
    <col min="2059" max="2061" width="3.625" style="4" bestFit="1" customWidth="1"/>
    <col min="2062" max="2062" width="9.125" style="4" customWidth="1"/>
    <col min="2063" max="2063" width="24.625" style="4" customWidth="1"/>
    <col min="2064" max="2065" width="9.125" style="4" customWidth="1"/>
    <col min="2066" max="2304" width="9" style="4"/>
    <col min="2305" max="2305" width="24.625" style="4" customWidth="1"/>
    <col min="2306" max="2306" width="5.125" style="4" bestFit="1" customWidth="1"/>
    <col min="2307" max="2307" width="5.125" style="4" customWidth="1"/>
    <col min="2308" max="2309" width="5.25" style="4" customWidth="1"/>
    <col min="2310" max="2310" width="9.125" style="4" customWidth="1"/>
    <col min="2311" max="2314" width="5.125" style="4" customWidth="1"/>
    <col min="2315" max="2317" width="3.625" style="4" bestFit="1" customWidth="1"/>
    <col min="2318" max="2318" width="9.125" style="4" customWidth="1"/>
    <col min="2319" max="2319" width="24.625" style="4" customWidth="1"/>
    <col min="2320" max="2321" width="9.125" style="4" customWidth="1"/>
    <col min="2322" max="2560" width="9" style="4"/>
    <col min="2561" max="2561" width="24.625" style="4" customWidth="1"/>
    <col min="2562" max="2562" width="5.125" style="4" bestFit="1" customWidth="1"/>
    <col min="2563" max="2563" width="5.125" style="4" customWidth="1"/>
    <col min="2564" max="2565" width="5.25" style="4" customWidth="1"/>
    <col min="2566" max="2566" width="9.125" style="4" customWidth="1"/>
    <col min="2567" max="2570" width="5.125" style="4" customWidth="1"/>
    <col min="2571" max="2573" width="3.625" style="4" bestFit="1" customWidth="1"/>
    <col min="2574" max="2574" width="9.125" style="4" customWidth="1"/>
    <col min="2575" max="2575" width="24.625" style="4" customWidth="1"/>
    <col min="2576" max="2577" width="9.125" style="4" customWidth="1"/>
    <col min="2578" max="2816" width="9" style="4"/>
    <col min="2817" max="2817" width="24.625" style="4" customWidth="1"/>
    <col min="2818" max="2818" width="5.125" style="4" bestFit="1" customWidth="1"/>
    <col min="2819" max="2819" width="5.125" style="4" customWidth="1"/>
    <col min="2820" max="2821" width="5.25" style="4" customWidth="1"/>
    <col min="2822" max="2822" width="9.125" style="4" customWidth="1"/>
    <col min="2823" max="2826" width="5.125" style="4" customWidth="1"/>
    <col min="2827" max="2829" width="3.625" style="4" bestFit="1" customWidth="1"/>
    <col min="2830" max="2830" width="9.125" style="4" customWidth="1"/>
    <col min="2831" max="2831" width="24.625" style="4" customWidth="1"/>
    <col min="2832" max="2833" width="9.125" style="4" customWidth="1"/>
    <col min="2834" max="3072" width="9" style="4"/>
    <col min="3073" max="3073" width="24.625" style="4" customWidth="1"/>
    <col min="3074" max="3074" width="5.125" style="4" bestFit="1" customWidth="1"/>
    <col min="3075" max="3075" width="5.125" style="4" customWidth="1"/>
    <col min="3076" max="3077" width="5.25" style="4" customWidth="1"/>
    <col min="3078" max="3078" width="9.125" style="4" customWidth="1"/>
    <col min="3079" max="3082" width="5.125" style="4" customWidth="1"/>
    <col min="3083" max="3085" width="3.625" style="4" bestFit="1" customWidth="1"/>
    <col min="3086" max="3086" width="9.125" style="4" customWidth="1"/>
    <col min="3087" max="3087" width="24.625" style="4" customWidth="1"/>
    <col min="3088" max="3089" width="9.125" style="4" customWidth="1"/>
    <col min="3090" max="3328" width="9" style="4"/>
    <col min="3329" max="3329" width="24.625" style="4" customWidth="1"/>
    <col min="3330" max="3330" width="5.125" style="4" bestFit="1" customWidth="1"/>
    <col min="3331" max="3331" width="5.125" style="4" customWidth="1"/>
    <col min="3332" max="3333" width="5.25" style="4" customWidth="1"/>
    <col min="3334" max="3334" width="9.125" style="4" customWidth="1"/>
    <col min="3335" max="3338" width="5.125" style="4" customWidth="1"/>
    <col min="3339" max="3341" width="3.625" style="4" bestFit="1" customWidth="1"/>
    <col min="3342" max="3342" width="9.125" style="4" customWidth="1"/>
    <col min="3343" max="3343" width="24.625" style="4" customWidth="1"/>
    <col min="3344" max="3345" width="9.125" style="4" customWidth="1"/>
    <col min="3346" max="3584" width="9" style="4"/>
    <col min="3585" max="3585" width="24.625" style="4" customWidth="1"/>
    <col min="3586" max="3586" width="5.125" style="4" bestFit="1" customWidth="1"/>
    <col min="3587" max="3587" width="5.125" style="4" customWidth="1"/>
    <col min="3588" max="3589" width="5.25" style="4" customWidth="1"/>
    <col min="3590" max="3590" width="9.125" style="4" customWidth="1"/>
    <col min="3591" max="3594" width="5.125" style="4" customWidth="1"/>
    <col min="3595" max="3597" width="3.625" style="4" bestFit="1" customWidth="1"/>
    <col min="3598" max="3598" width="9.125" style="4" customWidth="1"/>
    <col min="3599" max="3599" width="24.625" style="4" customWidth="1"/>
    <col min="3600" max="3601" width="9.125" style="4" customWidth="1"/>
    <col min="3602" max="3840" width="9" style="4"/>
    <col min="3841" max="3841" width="24.625" style="4" customWidth="1"/>
    <col min="3842" max="3842" width="5.125" style="4" bestFit="1" customWidth="1"/>
    <col min="3843" max="3843" width="5.125" style="4" customWidth="1"/>
    <col min="3844" max="3845" width="5.25" style="4" customWidth="1"/>
    <col min="3846" max="3846" width="9.125" style="4" customWidth="1"/>
    <col min="3847" max="3850" width="5.125" style="4" customWidth="1"/>
    <col min="3851" max="3853" width="3.625" style="4" bestFit="1" customWidth="1"/>
    <col min="3854" max="3854" width="9.125" style="4" customWidth="1"/>
    <col min="3855" max="3855" width="24.625" style="4" customWidth="1"/>
    <col min="3856" max="3857" width="9.125" style="4" customWidth="1"/>
    <col min="3858" max="4096" width="9" style="4"/>
    <col min="4097" max="4097" width="24.625" style="4" customWidth="1"/>
    <col min="4098" max="4098" width="5.125" style="4" bestFit="1" customWidth="1"/>
    <col min="4099" max="4099" width="5.125" style="4" customWidth="1"/>
    <col min="4100" max="4101" width="5.25" style="4" customWidth="1"/>
    <col min="4102" max="4102" width="9.125" style="4" customWidth="1"/>
    <col min="4103" max="4106" width="5.125" style="4" customWidth="1"/>
    <col min="4107" max="4109" width="3.625" style="4" bestFit="1" customWidth="1"/>
    <col min="4110" max="4110" width="9.125" style="4" customWidth="1"/>
    <col min="4111" max="4111" width="24.625" style="4" customWidth="1"/>
    <col min="4112" max="4113" width="9.125" style="4" customWidth="1"/>
    <col min="4114" max="4352" width="9" style="4"/>
    <col min="4353" max="4353" width="24.625" style="4" customWidth="1"/>
    <col min="4354" max="4354" width="5.125" style="4" bestFit="1" customWidth="1"/>
    <col min="4355" max="4355" width="5.125" style="4" customWidth="1"/>
    <col min="4356" max="4357" width="5.25" style="4" customWidth="1"/>
    <col min="4358" max="4358" width="9.125" style="4" customWidth="1"/>
    <col min="4359" max="4362" width="5.125" style="4" customWidth="1"/>
    <col min="4363" max="4365" width="3.625" style="4" bestFit="1" customWidth="1"/>
    <col min="4366" max="4366" width="9.125" style="4" customWidth="1"/>
    <col min="4367" max="4367" width="24.625" style="4" customWidth="1"/>
    <col min="4368" max="4369" width="9.125" style="4" customWidth="1"/>
    <col min="4370" max="4608" width="9" style="4"/>
    <col min="4609" max="4609" width="24.625" style="4" customWidth="1"/>
    <col min="4610" max="4610" width="5.125" style="4" bestFit="1" customWidth="1"/>
    <col min="4611" max="4611" width="5.125" style="4" customWidth="1"/>
    <col min="4612" max="4613" width="5.25" style="4" customWidth="1"/>
    <col min="4614" max="4614" width="9.125" style="4" customWidth="1"/>
    <col min="4615" max="4618" width="5.125" style="4" customWidth="1"/>
    <col min="4619" max="4621" width="3.625" style="4" bestFit="1" customWidth="1"/>
    <col min="4622" max="4622" width="9.125" style="4" customWidth="1"/>
    <col min="4623" max="4623" width="24.625" style="4" customWidth="1"/>
    <col min="4624" max="4625" width="9.125" style="4" customWidth="1"/>
    <col min="4626" max="4864" width="9" style="4"/>
    <col min="4865" max="4865" width="24.625" style="4" customWidth="1"/>
    <col min="4866" max="4866" width="5.125" style="4" bestFit="1" customWidth="1"/>
    <col min="4867" max="4867" width="5.125" style="4" customWidth="1"/>
    <col min="4868" max="4869" width="5.25" style="4" customWidth="1"/>
    <col min="4870" max="4870" width="9.125" style="4" customWidth="1"/>
    <col min="4871" max="4874" width="5.125" style="4" customWidth="1"/>
    <col min="4875" max="4877" width="3.625" style="4" bestFit="1" customWidth="1"/>
    <col min="4878" max="4878" width="9.125" style="4" customWidth="1"/>
    <col min="4879" max="4879" width="24.625" style="4" customWidth="1"/>
    <col min="4880" max="4881" width="9.125" style="4" customWidth="1"/>
    <col min="4882" max="5120" width="9" style="4"/>
    <col min="5121" max="5121" width="24.625" style="4" customWidth="1"/>
    <col min="5122" max="5122" width="5.125" style="4" bestFit="1" customWidth="1"/>
    <col min="5123" max="5123" width="5.125" style="4" customWidth="1"/>
    <col min="5124" max="5125" width="5.25" style="4" customWidth="1"/>
    <col min="5126" max="5126" width="9.125" style="4" customWidth="1"/>
    <col min="5127" max="5130" width="5.125" style="4" customWidth="1"/>
    <col min="5131" max="5133" width="3.625" style="4" bestFit="1" customWidth="1"/>
    <col min="5134" max="5134" width="9.125" style="4" customWidth="1"/>
    <col min="5135" max="5135" width="24.625" style="4" customWidth="1"/>
    <col min="5136" max="5137" width="9.125" style="4" customWidth="1"/>
    <col min="5138" max="5376" width="9" style="4"/>
    <col min="5377" max="5377" width="24.625" style="4" customWidth="1"/>
    <col min="5378" max="5378" width="5.125" style="4" bestFit="1" customWidth="1"/>
    <col min="5379" max="5379" width="5.125" style="4" customWidth="1"/>
    <col min="5380" max="5381" width="5.25" style="4" customWidth="1"/>
    <col min="5382" max="5382" width="9.125" style="4" customWidth="1"/>
    <col min="5383" max="5386" width="5.125" style="4" customWidth="1"/>
    <col min="5387" max="5389" width="3.625" style="4" bestFit="1" customWidth="1"/>
    <col min="5390" max="5390" width="9.125" style="4" customWidth="1"/>
    <col min="5391" max="5391" width="24.625" style="4" customWidth="1"/>
    <col min="5392" max="5393" width="9.125" style="4" customWidth="1"/>
    <col min="5394" max="5632" width="9" style="4"/>
    <col min="5633" max="5633" width="24.625" style="4" customWidth="1"/>
    <col min="5634" max="5634" width="5.125" style="4" bestFit="1" customWidth="1"/>
    <col min="5635" max="5635" width="5.125" style="4" customWidth="1"/>
    <col min="5636" max="5637" width="5.25" style="4" customWidth="1"/>
    <col min="5638" max="5638" width="9.125" style="4" customWidth="1"/>
    <col min="5639" max="5642" width="5.125" style="4" customWidth="1"/>
    <col min="5643" max="5645" width="3.625" style="4" bestFit="1" customWidth="1"/>
    <col min="5646" max="5646" width="9.125" style="4" customWidth="1"/>
    <col min="5647" max="5647" width="24.625" style="4" customWidth="1"/>
    <col min="5648" max="5649" width="9.125" style="4" customWidth="1"/>
    <col min="5650" max="5888" width="9" style="4"/>
    <col min="5889" max="5889" width="24.625" style="4" customWidth="1"/>
    <col min="5890" max="5890" width="5.125" style="4" bestFit="1" customWidth="1"/>
    <col min="5891" max="5891" width="5.125" style="4" customWidth="1"/>
    <col min="5892" max="5893" width="5.25" style="4" customWidth="1"/>
    <col min="5894" max="5894" width="9.125" style="4" customWidth="1"/>
    <col min="5895" max="5898" width="5.125" style="4" customWidth="1"/>
    <col min="5899" max="5901" width="3.625" style="4" bestFit="1" customWidth="1"/>
    <col min="5902" max="5902" width="9.125" style="4" customWidth="1"/>
    <col min="5903" max="5903" width="24.625" style="4" customWidth="1"/>
    <col min="5904" max="5905" width="9.125" style="4" customWidth="1"/>
    <col min="5906" max="6144" width="9" style="4"/>
    <col min="6145" max="6145" width="24.625" style="4" customWidth="1"/>
    <col min="6146" max="6146" width="5.125" style="4" bestFit="1" customWidth="1"/>
    <col min="6147" max="6147" width="5.125" style="4" customWidth="1"/>
    <col min="6148" max="6149" width="5.25" style="4" customWidth="1"/>
    <col min="6150" max="6150" width="9.125" style="4" customWidth="1"/>
    <col min="6151" max="6154" width="5.125" style="4" customWidth="1"/>
    <col min="6155" max="6157" width="3.625" style="4" bestFit="1" customWidth="1"/>
    <col min="6158" max="6158" width="9.125" style="4" customWidth="1"/>
    <col min="6159" max="6159" width="24.625" style="4" customWidth="1"/>
    <col min="6160" max="6161" width="9.125" style="4" customWidth="1"/>
    <col min="6162" max="6400" width="9" style="4"/>
    <col min="6401" max="6401" width="24.625" style="4" customWidth="1"/>
    <col min="6402" max="6402" width="5.125" style="4" bestFit="1" customWidth="1"/>
    <col min="6403" max="6403" width="5.125" style="4" customWidth="1"/>
    <col min="6404" max="6405" width="5.25" style="4" customWidth="1"/>
    <col min="6406" max="6406" width="9.125" style="4" customWidth="1"/>
    <col min="6407" max="6410" width="5.125" style="4" customWidth="1"/>
    <col min="6411" max="6413" width="3.625" style="4" bestFit="1" customWidth="1"/>
    <col min="6414" max="6414" width="9.125" style="4" customWidth="1"/>
    <col min="6415" max="6415" width="24.625" style="4" customWidth="1"/>
    <col min="6416" max="6417" width="9.125" style="4" customWidth="1"/>
    <col min="6418" max="6656" width="9" style="4"/>
    <col min="6657" max="6657" width="24.625" style="4" customWidth="1"/>
    <col min="6658" max="6658" width="5.125" style="4" bestFit="1" customWidth="1"/>
    <col min="6659" max="6659" width="5.125" style="4" customWidth="1"/>
    <col min="6660" max="6661" width="5.25" style="4" customWidth="1"/>
    <col min="6662" max="6662" width="9.125" style="4" customWidth="1"/>
    <col min="6663" max="6666" width="5.125" style="4" customWidth="1"/>
    <col min="6667" max="6669" width="3.625" style="4" bestFit="1" customWidth="1"/>
    <col min="6670" max="6670" width="9.125" style="4" customWidth="1"/>
    <col min="6671" max="6671" width="24.625" style="4" customWidth="1"/>
    <col min="6672" max="6673" width="9.125" style="4" customWidth="1"/>
    <col min="6674" max="6912" width="9" style="4"/>
    <col min="6913" max="6913" width="24.625" style="4" customWidth="1"/>
    <col min="6914" max="6914" width="5.125" style="4" bestFit="1" customWidth="1"/>
    <col min="6915" max="6915" width="5.125" style="4" customWidth="1"/>
    <col min="6916" max="6917" width="5.25" style="4" customWidth="1"/>
    <col min="6918" max="6918" width="9.125" style="4" customWidth="1"/>
    <col min="6919" max="6922" width="5.125" style="4" customWidth="1"/>
    <col min="6923" max="6925" width="3.625" style="4" bestFit="1" customWidth="1"/>
    <col min="6926" max="6926" width="9.125" style="4" customWidth="1"/>
    <col min="6927" max="6927" width="24.625" style="4" customWidth="1"/>
    <col min="6928" max="6929" width="9.125" style="4" customWidth="1"/>
    <col min="6930" max="7168" width="9" style="4"/>
    <col min="7169" max="7169" width="24.625" style="4" customWidth="1"/>
    <col min="7170" max="7170" width="5.125" style="4" bestFit="1" customWidth="1"/>
    <col min="7171" max="7171" width="5.125" style="4" customWidth="1"/>
    <col min="7172" max="7173" width="5.25" style="4" customWidth="1"/>
    <col min="7174" max="7174" width="9.125" style="4" customWidth="1"/>
    <col min="7175" max="7178" width="5.125" style="4" customWidth="1"/>
    <col min="7179" max="7181" width="3.625" style="4" bestFit="1" customWidth="1"/>
    <col min="7182" max="7182" width="9.125" style="4" customWidth="1"/>
    <col min="7183" max="7183" width="24.625" style="4" customWidth="1"/>
    <col min="7184" max="7185" width="9.125" style="4" customWidth="1"/>
    <col min="7186" max="7424" width="9" style="4"/>
    <col min="7425" max="7425" width="24.625" style="4" customWidth="1"/>
    <col min="7426" max="7426" width="5.125" style="4" bestFit="1" customWidth="1"/>
    <col min="7427" max="7427" width="5.125" style="4" customWidth="1"/>
    <col min="7428" max="7429" width="5.25" style="4" customWidth="1"/>
    <col min="7430" max="7430" width="9.125" style="4" customWidth="1"/>
    <col min="7431" max="7434" width="5.125" style="4" customWidth="1"/>
    <col min="7435" max="7437" width="3.625" style="4" bestFit="1" customWidth="1"/>
    <col min="7438" max="7438" width="9.125" style="4" customWidth="1"/>
    <col min="7439" max="7439" width="24.625" style="4" customWidth="1"/>
    <col min="7440" max="7441" width="9.125" style="4" customWidth="1"/>
    <col min="7442" max="7680" width="9" style="4"/>
    <col min="7681" max="7681" width="24.625" style="4" customWidth="1"/>
    <col min="7682" max="7682" width="5.125" style="4" bestFit="1" customWidth="1"/>
    <col min="7683" max="7683" width="5.125" style="4" customWidth="1"/>
    <col min="7684" max="7685" width="5.25" style="4" customWidth="1"/>
    <col min="7686" max="7686" width="9.125" style="4" customWidth="1"/>
    <col min="7687" max="7690" width="5.125" style="4" customWidth="1"/>
    <col min="7691" max="7693" width="3.625" style="4" bestFit="1" customWidth="1"/>
    <col min="7694" max="7694" width="9.125" style="4" customWidth="1"/>
    <col min="7695" max="7695" width="24.625" style="4" customWidth="1"/>
    <col min="7696" max="7697" width="9.125" style="4" customWidth="1"/>
    <col min="7698" max="7936" width="9" style="4"/>
    <col min="7937" max="7937" width="24.625" style="4" customWidth="1"/>
    <col min="7938" max="7938" width="5.125" style="4" bestFit="1" customWidth="1"/>
    <col min="7939" max="7939" width="5.125" style="4" customWidth="1"/>
    <col min="7940" max="7941" width="5.25" style="4" customWidth="1"/>
    <col min="7942" max="7942" width="9.125" style="4" customWidth="1"/>
    <col min="7943" max="7946" width="5.125" style="4" customWidth="1"/>
    <col min="7947" max="7949" width="3.625" style="4" bestFit="1" customWidth="1"/>
    <col min="7950" max="7950" width="9.125" style="4" customWidth="1"/>
    <col min="7951" max="7951" width="24.625" style="4" customWidth="1"/>
    <col min="7952" max="7953" width="9.125" style="4" customWidth="1"/>
    <col min="7954" max="8192" width="9" style="4"/>
    <col min="8193" max="8193" width="24.625" style="4" customWidth="1"/>
    <col min="8194" max="8194" width="5.125" style="4" bestFit="1" customWidth="1"/>
    <col min="8195" max="8195" width="5.125" style="4" customWidth="1"/>
    <col min="8196" max="8197" width="5.25" style="4" customWidth="1"/>
    <col min="8198" max="8198" width="9.125" style="4" customWidth="1"/>
    <col min="8199" max="8202" width="5.125" style="4" customWidth="1"/>
    <col min="8203" max="8205" width="3.625" style="4" bestFit="1" customWidth="1"/>
    <col min="8206" max="8206" width="9.125" style="4" customWidth="1"/>
    <col min="8207" max="8207" width="24.625" style="4" customWidth="1"/>
    <col min="8208" max="8209" width="9.125" style="4" customWidth="1"/>
    <col min="8210" max="8448" width="9" style="4"/>
    <col min="8449" max="8449" width="24.625" style="4" customWidth="1"/>
    <col min="8450" max="8450" width="5.125" style="4" bestFit="1" customWidth="1"/>
    <col min="8451" max="8451" width="5.125" style="4" customWidth="1"/>
    <col min="8452" max="8453" width="5.25" style="4" customWidth="1"/>
    <col min="8454" max="8454" width="9.125" style="4" customWidth="1"/>
    <col min="8455" max="8458" width="5.125" style="4" customWidth="1"/>
    <col min="8459" max="8461" width="3.625" style="4" bestFit="1" customWidth="1"/>
    <col min="8462" max="8462" width="9.125" style="4" customWidth="1"/>
    <col min="8463" max="8463" width="24.625" style="4" customWidth="1"/>
    <col min="8464" max="8465" width="9.125" style="4" customWidth="1"/>
    <col min="8466" max="8704" width="9" style="4"/>
    <col min="8705" max="8705" width="24.625" style="4" customWidth="1"/>
    <col min="8706" max="8706" width="5.125" style="4" bestFit="1" customWidth="1"/>
    <col min="8707" max="8707" width="5.125" style="4" customWidth="1"/>
    <col min="8708" max="8709" width="5.25" style="4" customWidth="1"/>
    <col min="8710" max="8710" width="9.125" style="4" customWidth="1"/>
    <col min="8711" max="8714" width="5.125" style="4" customWidth="1"/>
    <col min="8715" max="8717" width="3.625" style="4" bestFit="1" customWidth="1"/>
    <col min="8718" max="8718" width="9.125" style="4" customWidth="1"/>
    <col min="8719" max="8719" width="24.625" style="4" customWidth="1"/>
    <col min="8720" max="8721" width="9.125" style="4" customWidth="1"/>
    <col min="8722" max="8960" width="9" style="4"/>
    <col min="8961" max="8961" width="24.625" style="4" customWidth="1"/>
    <col min="8962" max="8962" width="5.125" style="4" bestFit="1" customWidth="1"/>
    <col min="8963" max="8963" width="5.125" style="4" customWidth="1"/>
    <col min="8964" max="8965" width="5.25" style="4" customWidth="1"/>
    <col min="8966" max="8966" width="9.125" style="4" customWidth="1"/>
    <col min="8967" max="8970" width="5.125" style="4" customWidth="1"/>
    <col min="8971" max="8973" width="3.625" style="4" bestFit="1" customWidth="1"/>
    <col min="8974" max="8974" width="9.125" style="4" customWidth="1"/>
    <col min="8975" max="8975" width="24.625" style="4" customWidth="1"/>
    <col min="8976" max="8977" width="9.125" style="4" customWidth="1"/>
    <col min="8978" max="9216" width="9" style="4"/>
    <col min="9217" max="9217" width="24.625" style="4" customWidth="1"/>
    <col min="9218" max="9218" width="5.125" style="4" bestFit="1" customWidth="1"/>
    <col min="9219" max="9219" width="5.125" style="4" customWidth="1"/>
    <col min="9220" max="9221" width="5.25" style="4" customWidth="1"/>
    <col min="9222" max="9222" width="9.125" style="4" customWidth="1"/>
    <col min="9223" max="9226" width="5.125" style="4" customWidth="1"/>
    <col min="9227" max="9229" width="3.625" style="4" bestFit="1" customWidth="1"/>
    <col min="9230" max="9230" width="9.125" style="4" customWidth="1"/>
    <col min="9231" max="9231" width="24.625" style="4" customWidth="1"/>
    <col min="9232" max="9233" width="9.125" style="4" customWidth="1"/>
    <col min="9234" max="9472" width="9" style="4"/>
    <col min="9473" max="9473" width="24.625" style="4" customWidth="1"/>
    <col min="9474" max="9474" width="5.125" style="4" bestFit="1" customWidth="1"/>
    <col min="9475" max="9475" width="5.125" style="4" customWidth="1"/>
    <col min="9476" max="9477" width="5.25" style="4" customWidth="1"/>
    <col min="9478" max="9478" width="9.125" style="4" customWidth="1"/>
    <col min="9479" max="9482" width="5.125" style="4" customWidth="1"/>
    <col min="9483" max="9485" width="3.625" style="4" bestFit="1" customWidth="1"/>
    <col min="9486" max="9486" width="9.125" style="4" customWidth="1"/>
    <col min="9487" max="9487" width="24.625" style="4" customWidth="1"/>
    <col min="9488" max="9489" width="9.125" style="4" customWidth="1"/>
    <col min="9490" max="9728" width="9" style="4"/>
    <col min="9729" max="9729" width="24.625" style="4" customWidth="1"/>
    <col min="9730" max="9730" width="5.125" style="4" bestFit="1" customWidth="1"/>
    <col min="9731" max="9731" width="5.125" style="4" customWidth="1"/>
    <col min="9732" max="9733" width="5.25" style="4" customWidth="1"/>
    <col min="9734" max="9734" width="9.125" style="4" customWidth="1"/>
    <col min="9735" max="9738" width="5.125" style="4" customWidth="1"/>
    <col min="9739" max="9741" width="3.625" style="4" bestFit="1" customWidth="1"/>
    <col min="9742" max="9742" width="9.125" style="4" customWidth="1"/>
    <col min="9743" max="9743" width="24.625" style="4" customWidth="1"/>
    <col min="9744" max="9745" width="9.125" style="4" customWidth="1"/>
    <col min="9746" max="9984" width="9" style="4"/>
    <col min="9985" max="9985" width="24.625" style="4" customWidth="1"/>
    <col min="9986" max="9986" width="5.125" style="4" bestFit="1" customWidth="1"/>
    <col min="9987" max="9987" width="5.125" style="4" customWidth="1"/>
    <col min="9988" max="9989" width="5.25" style="4" customWidth="1"/>
    <col min="9990" max="9990" width="9.125" style="4" customWidth="1"/>
    <col min="9991" max="9994" width="5.125" style="4" customWidth="1"/>
    <col min="9995" max="9997" width="3.625" style="4" bestFit="1" customWidth="1"/>
    <col min="9998" max="9998" width="9.125" style="4" customWidth="1"/>
    <col min="9999" max="9999" width="24.625" style="4" customWidth="1"/>
    <col min="10000" max="10001" width="9.125" style="4" customWidth="1"/>
    <col min="10002" max="10240" width="9" style="4"/>
    <col min="10241" max="10241" width="24.625" style="4" customWidth="1"/>
    <col min="10242" max="10242" width="5.125" style="4" bestFit="1" customWidth="1"/>
    <col min="10243" max="10243" width="5.125" style="4" customWidth="1"/>
    <col min="10244" max="10245" width="5.25" style="4" customWidth="1"/>
    <col min="10246" max="10246" width="9.125" style="4" customWidth="1"/>
    <col min="10247" max="10250" width="5.125" style="4" customWidth="1"/>
    <col min="10251" max="10253" width="3.625" style="4" bestFit="1" customWidth="1"/>
    <col min="10254" max="10254" width="9.125" style="4" customWidth="1"/>
    <col min="10255" max="10255" width="24.625" style="4" customWidth="1"/>
    <col min="10256" max="10257" width="9.125" style="4" customWidth="1"/>
    <col min="10258" max="10496" width="9" style="4"/>
    <col min="10497" max="10497" width="24.625" style="4" customWidth="1"/>
    <col min="10498" max="10498" width="5.125" style="4" bestFit="1" customWidth="1"/>
    <col min="10499" max="10499" width="5.125" style="4" customWidth="1"/>
    <col min="10500" max="10501" width="5.25" style="4" customWidth="1"/>
    <col min="10502" max="10502" width="9.125" style="4" customWidth="1"/>
    <col min="10503" max="10506" width="5.125" style="4" customWidth="1"/>
    <col min="10507" max="10509" width="3.625" style="4" bestFit="1" customWidth="1"/>
    <col min="10510" max="10510" width="9.125" style="4" customWidth="1"/>
    <col min="10511" max="10511" width="24.625" style="4" customWidth="1"/>
    <col min="10512" max="10513" width="9.125" style="4" customWidth="1"/>
    <col min="10514" max="10752" width="9" style="4"/>
    <col min="10753" max="10753" width="24.625" style="4" customWidth="1"/>
    <col min="10754" max="10754" width="5.125" style="4" bestFit="1" customWidth="1"/>
    <col min="10755" max="10755" width="5.125" style="4" customWidth="1"/>
    <col min="10756" max="10757" width="5.25" style="4" customWidth="1"/>
    <col min="10758" max="10758" width="9.125" style="4" customWidth="1"/>
    <col min="10759" max="10762" width="5.125" style="4" customWidth="1"/>
    <col min="10763" max="10765" width="3.625" style="4" bestFit="1" customWidth="1"/>
    <col min="10766" max="10766" width="9.125" style="4" customWidth="1"/>
    <col min="10767" max="10767" width="24.625" style="4" customWidth="1"/>
    <col min="10768" max="10769" width="9.125" style="4" customWidth="1"/>
    <col min="10770" max="11008" width="9" style="4"/>
    <col min="11009" max="11009" width="24.625" style="4" customWidth="1"/>
    <col min="11010" max="11010" width="5.125" style="4" bestFit="1" customWidth="1"/>
    <col min="11011" max="11011" width="5.125" style="4" customWidth="1"/>
    <col min="11012" max="11013" width="5.25" style="4" customWidth="1"/>
    <col min="11014" max="11014" width="9.125" style="4" customWidth="1"/>
    <col min="11015" max="11018" width="5.125" style="4" customWidth="1"/>
    <col min="11019" max="11021" width="3.625" style="4" bestFit="1" customWidth="1"/>
    <col min="11022" max="11022" width="9.125" style="4" customWidth="1"/>
    <col min="11023" max="11023" width="24.625" style="4" customWidth="1"/>
    <col min="11024" max="11025" width="9.125" style="4" customWidth="1"/>
    <col min="11026" max="11264" width="9" style="4"/>
    <col min="11265" max="11265" width="24.625" style="4" customWidth="1"/>
    <col min="11266" max="11266" width="5.125" style="4" bestFit="1" customWidth="1"/>
    <col min="11267" max="11267" width="5.125" style="4" customWidth="1"/>
    <col min="11268" max="11269" width="5.25" style="4" customWidth="1"/>
    <col min="11270" max="11270" width="9.125" style="4" customWidth="1"/>
    <col min="11271" max="11274" width="5.125" style="4" customWidth="1"/>
    <col min="11275" max="11277" width="3.625" style="4" bestFit="1" customWidth="1"/>
    <col min="11278" max="11278" width="9.125" style="4" customWidth="1"/>
    <col min="11279" max="11279" width="24.625" style="4" customWidth="1"/>
    <col min="11280" max="11281" width="9.125" style="4" customWidth="1"/>
    <col min="11282" max="11520" width="9" style="4"/>
    <col min="11521" max="11521" width="24.625" style="4" customWidth="1"/>
    <col min="11522" max="11522" width="5.125" style="4" bestFit="1" customWidth="1"/>
    <col min="11523" max="11523" width="5.125" style="4" customWidth="1"/>
    <col min="11524" max="11525" width="5.25" style="4" customWidth="1"/>
    <col min="11526" max="11526" width="9.125" style="4" customWidth="1"/>
    <col min="11527" max="11530" width="5.125" style="4" customWidth="1"/>
    <col min="11531" max="11533" width="3.625" style="4" bestFit="1" customWidth="1"/>
    <col min="11534" max="11534" width="9.125" style="4" customWidth="1"/>
    <col min="11535" max="11535" width="24.625" style="4" customWidth="1"/>
    <col min="11536" max="11537" width="9.125" style="4" customWidth="1"/>
    <col min="11538" max="11776" width="9" style="4"/>
    <col min="11777" max="11777" width="24.625" style="4" customWidth="1"/>
    <col min="11778" max="11778" width="5.125" style="4" bestFit="1" customWidth="1"/>
    <col min="11779" max="11779" width="5.125" style="4" customWidth="1"/>
    <col min="11780" max="11781" width="5.25" style="4" customWidth="1"/>
    <col min="11782" max="11782" width="9.125" style="4" customWidth="1"/>
    <col min="11783" max="11786" width="5.125" style="4" customWidth="1"/>
    <col min="11787" max="11789" width="3.625" style="4" bestFit="1" customWidth="1"/>
    <col min="11790" max="11790" width="9.125" style="4" customWidth="1"/>
    <col min="11791" max="11791" width="24.625" style="4" customWidth="1"/>
    <col min="11792" max="11793" width="9.125" style="4" customWidth="1"/>
    <col min="11794" max="12032" width="9" style="4"/>
    <col min="12033" max="12033" width="24.625" style="4" customWidth="1"/>
    <col min="12034" max="12034" width="5.125" style="4" bestFit="1" customWidth="1"/>
    <col min="12035" max="12035" width="5.125" style="4" customWidth="1"/>
    <col min="12036" max="12037" width="5.25" style="4" customWidth="1"/>
    <col min="12038" max="12038" width="9.125" style="4" customWidth="1"/>
    <col min="12039" max="12042" width="5.125" style="4" customWidth="1"/>
    <col min="12043" max="12045" width="3.625" style="4" bestFit="1" customWidth="1"/>
    <col min="12046" max="12046" width="9.125" style="4" customWidth="1"/>
    <col min="12047" max="12047" width="24.625" style="4" customWidth="1"/>
    <col min="12048" max="12049" width="9.125" style="4" customWidth="1"/>
    <col min="12050" max="12288" width="9" style="4"/>
    <col min="12289" max="12289" width="24.625" style="4" customWidth="1"/>
    <col min="12290" max="12290" width="5.125" style="4" bestFit="1" customWidth="1"/>
    <col min="12291" max="12291" width="5.125" style="4" customWidth="1"/>
    <col min="12292" max="12293" width="5.25" style="4" customWidth="1"/>
    <col min="12294" max="12294" width="9.125" style="4" customWidth="1"/>
    <col min="12295" max="12298" width="5.125" style="4" customWidth="1"/>
    <col min="12299" max="12301" width="3.625" style="4" bestFit="1" customWidth="1"/>
    <col min="12302" max="12302" width="9.125" style="4" customWidth="1"/>
    <col min="12303" max="12303" width="24.625" style="4" customWidth="1"/>
    <col min="12304" max="12305" width="9.125" style="4" customWidth="1"/>
    <col min="12306" max="12544" width="9" style="4"/>
    <col min="12545" max="12545" width="24.625" style="4" customWidth="1"/>
    <col min="12546" max="12546" width="5.125" style="4" bestFit="1" customWidth="1"/>
    <col min="12547" max="12547" width="5.125" style="4" customWidth="1"/>
    <col min="12548" max="12549" width="5.25" style="4" customWidth="1"/>
    <col min="12550" max="12550" width="9.125" style="4" customWidth="1"/>
    <col min="12551" max="12554" width="5.125" style="4" customWidth="1"/>
    <col min="12555" max="12557" width="3.625" style="4" bestFit="1" customWidth="1"/>
    <col min="12558" max="12558" width="9.125" style="4" customWidth="1"/>
    <col min="12559" max="12559" width="24.625" style="4" customWidth="1"/>
    <col min="12560" max="12561" width="9.125" style="4" customWidth="1"/>
    <col min="12562" max="12800" width="9" style="4"/>
    <col min="12801" max="12801" width="24.625" style="4" customWidth="1"/>
    <col min="12802" max="12802" width="5.125" style="4" bestFit="1" customWidth="1"/>
    <col min="12803" max="12803" width="5.125" style="4" customWidth="1"/>
    <col min="12804" max="12805" width="5.25" style="4" customWidth="1"/>
    <col min="12806" max="12806" width="9.125" style="4" customWidth="1"/>
    <col min="12807" max="12810" width="5.125" style="4" customWidth="1"/>
    <col min="12811" max="12813" width="3.625" style="4" bestFit="1" customWidth="1"/>
    <col min="12814" max="12814" width="9.125" style="4" customWidth="1"/>
    <col min="12815" max="12815" width="24.625" style="4" customWidth="1"/>
    <col min="12816" max="12817" width="9.125" style="4" customWidth="1"/>
    <col min="12818" max="13056" width="9" style="4"/>
    <col min="13057" max="13057" width="24.625" style="4" customWidth="1"/>
    <col min="13058" max="13058" width="5.125" style="4" bestFit="1" customWidth="1"/>
    <col min="13059" max="13059" width="5.125" style="4" customWidth="1"/>
    <col min="13060" max="13061" width="5.25" style="4" customWidth="1"/>
    <col min="13062" max="13062" width="9.125" style="4" customWidth="1"/>
    <col min="13063" max="13066" width="5.125" style="4" customWidth="1"/>
    <col min="13067" max="13069" width="3.625" style="4" bestFit="1" customWidth="1"/>
    <col min="13070" max="13070" width="9.125" style="4" customWidth="1"/>
    <col min="13071" max="13071" width="24.625" style="4" customWidth="1"/>
    <col min="13072" max="13073" width="9.125" style="4" customWidth="1"/>
    <col min="13074" max="13312" width="9" style="4"/>
    <col min="13313" max="13313" width="24.625" style="4" customWidth="1"/>
    <col min="13314" max="13314" width="5.125" style="4" bestFit="1" customWidth="1"/>
    <col min="13315" max="13315" width="5.125" style="4" customWidth="1"/>
    <col min="13316" max="13317" width="5.25" style="4" customWidth="1"/>
    <col min="13318" max="13318" width="9.125" style="4" customWidth="1"/>
    <col min="13319" max="13322" width="5.125" style="4" customWidth="1"/>
    <col min="13323" max="13325" width="3.625" style="4" bestFit="1" customWidth="1"/>
    <col min="13326" max="13326" width="9.125" style="4" customWidth="1"/>
    <col min="13327" max="13327" width="24.625" style="4" customWidth="1"/>
    <col min="13328" max="13329" width="9.125" style="4" customWidth="1"/>
    <col min="13330" max="13568" width="9" style="4"/>
    <col min="13569" max="13569" width="24.625" style="4" customWidth="1"/>
    <col min="13570" max="13570" width="5.125" style="4" bestFit="1" customWidth="1"/>
    <col min="13571" max="13571" width="5.125" style="4" customWidth="1"/>
    <col min="13572" max="13573" width="5.25" style="4" customWidth="1"/>
    <col min="13574" max="13574" width="9.125" style="4" customWidth="1"/>
    <col min="13575" max="13578" width="5.125" style="4" customWidth="1"/>
    <col min="13579" max="13581" width="3.625" style="4" bestFit="1" customWidth="1"/>
    <col min="13582" max="13582" width="9.125" style="4" customWidth="1"/>
    <col min="13583" max="13583" width="24.625" style="4" customWidth="1"/>
    <col min="13584" max="13585" width="9.125" style="4" customWidth="1"/>
    <col min="13586" max="13824" width="9" style="4"/>
    <col min="13825" max="13825" width="24.625" style="4" customWidth="1"/>
    <col min="13826" max="13826" width="5.125" style="4" bestFit="1" customWidth="1"/>
    <col min="13827" max="13827" width="5.125" style="4" customWidth="1"/>
    <col min="13828" max="13829" width="5.25" style="4" customWidth="1"/>
    <col min="13830" max="13830" width="9.125" style="4" customWidth="1"/>
    <col min="13831" max="13834" width="5.125" style="4" customWidth="1"/>
    <col min="13835" max="13837" width="3.625" style="4" bestFit="1" customWidth="1"/>
    <col min="13838" max="13838" width="9.125" style="4" customWidth="1"/>
    <col min="13839" max="13839" width="24.625" style="4" customWidth="1"/>
    <col min="13840" max="13841" width="9.125" style="4" customWidth="1"/>
    <col min="13842" max="14080" width="9" style="4"/>
    <col min="14081" max="14081" width="24.625" style="4" customWidth="1"/>
    <col min="14082" max="14082" width="5.125" style="4" bestFit="1" customWidth="1"/>
    <col min="14083" max="14083" width="5.125" style="4" customWidth="1"/>
    <col min="14084" max="14085" width="5.25" style="4" customWidth="1"/>
    <col min="14086" max="14086" width="9.125" style="4" customWidth="1"/>
    <col min="14087" max="14090" width="5.125" style="4" customWidth="1"/>
    <col min="14091" max="14093" width="3.625" style="4" bestFit="1" customWidth="1"/>
    <col min="14094" max="14094" width="9.125" style="4" customWidth="1"/>
    <col min="14095" max="14095" width="24.625" style="4" customWidth="1"/>
    <col min="14096" max="14097" width="9.125" style="4" customWidth="1"/>
    <col min="14098" max="14336" width="9" style="4"/>
    <col min="14337" max="14337" width="24.625" style="4" customWidth="1"/>
    <col min="14338" max="14338" width="5.125" style="4" bestFit="1" customWidth="1"/>
    <col min="14339" max="14339" width="5.125" style="4" customWidth="1"/>
    <col min="14340" max="14341" width="5.25" style="4" customWidth="1"/>
    <col min="14342" max="14342" width="9.125" style="4" customWidth="1"/>
    <col min="14343" max="14346" width="5.125" style="4" customWidth="1"/>
    <col min="14347" max="14349" width="3.625" style="4" bestFit="1" customWidth="1"/>
    <col min="14350" max="14350" width="9.125" style="4" customWidth="1"/>
    <col min="14351" max="14351" width="24.625" style="4" customWidth="1"/>
    <col min="14352" max="14353" width="9.125" style="4" customWidth="1"/>
    <col min="14354" max="14592" width="9" style="4"/>
    <col min="14593" max="14593" width="24.625" style="4" customWidth="1"/>
    <col min="14594" max="14594" width="5.125" style="4" bestFit="1" customWidth="1"/>
    <col min="14595" max="14595" width="5.125" style="4" customWidth="1"/>
    <col min="14596" max="14597" width="5.25" style="4" customWidth="1"/>
    <col min="14598" max="14598" width="9.125" style="4" customWidth="1"/>
    <col min="14599" max="14602" width="5.125" style="4" customWidth="1"/>
    <col min="14603" max="14605" width="3.625" style="4" bestFit="1" customWidth="1"/>
    <col min="14606" max="14606" width="9.125" style="4" customWidth="1"/>
    <col min="14607" max="14607" width="24.625" style="4" customWidth="1"/>
    <col min="14608" max="14609" width="9.125" style="4" customWidth="1"/>
    <col min="14610" max="14848" width="9" style="4"/>
    <col min="14849" max="14849" width="24.625" style="4" customWidth="1"/>
    <col min="14850" max="14850" width="5.125" style="4" bestFit="1" customWidth="1"/>
    <col min="14851" max="14851" width="5.125" style="4" customWidth="1"/>
    <col min="14852" max="14853" width="5.25" style="4" customWidth="1"/>
    <col min="14854" max="14854" width="9.125" style="4" customWidth="1"/>
    <col min="14855" max="14858" width="5.125" style="4" customWidth="1"/>
    <col min="14859" max="14861" width="3.625" style="4" bestFit="1" customWidth="1"/>
    <col min="14862" max="14862" width="9.125" style="4" customWidth="1"/>
    <col min="14863" max="14863" width="24.625" style="4" customWidth="1"/>
    <col min="14864" max="14865" width="9.125" style="4" customWidth="1"/>
    <col min="14866" max="15104" width="9" style="4"/>
    <col min="15105" max="15105" width="24.625" style="4" customWidth="1"/>
    <col min="15106" max="15106" width="5.125" style="4" bestFit="1" customWidth="1"/>
    <col min="15107" max="15107" width="5.125" style="4" customWidth="1"/>
    <col min="15108" max="15109" width="5.25" style="4" customWidth="1"/>
    <col min="15110" max="15110" width="9.125" style="4" customWidth="1"/>
    <col min="15111" max="15114" width="5.125" style="4" customWidth="1"/>
    <col min="15115" max="15117" width="3.625" style="4" bestFit="1" customWidth="1"/>
    <col min="15118" max="15118" width="9.125" style="4" customWidth="1"/>
    <col min="15119" max="15119" width="24.625" style="4" customWidth="1"/>
    <col min="15120" max="15121" width="9.125" style="4" customWidth="1"/>
    <col min="15122" max="15360" width="9" style="4"/>
    <col min="15361" max="15361" width="24.625" style="4" customWidth="1"/>
    <col min="15362" max="15362" width="5.125" style="4" bestFit="1" customWidth="1"/>
    <col min="15363" max="15363" width="5.125" style="4" customWidth="1"/>
    <col min="15364" max="15365" width="5.25" style="4" customWidth="1"/>
    <col min="15366" max="15366" width="9.125" style="4" customWidth="1"/>
    <col min="15367" max="15370" width="5.125" style="4" customWidth="1"/>
    <col min="15371" max="15373" width="3.625" style="4" bestFit="1" customWidth="1"/>
    <col min="15374" max="15374" width="9.125" style="4" customWidth="1"/>
    <col min="15375" max="15375" width="24.625" style="4" customWidth="1"/>
    <col min="15376" max="15377" width="9.125" style="4" customWidth="1"/>
    <col min="15378" max="15616" width="9" style="4"/>
    <col min="15617" max="15617" width="24.625" style="4" customWidth="1"/>
    <col min="15618" max="15618" width="5.125" style="4" bestFit="1" customWidth="1"/>
    <col min="15619" max="15619" width="5.125" style="4" customWidth="1"/>
    <col min="15620" max="15621" width="5.25" style="4" customWidth="1"/>
    <col min="15622" max="15622" width="9.125" style="4" customWidth="1"/>
    <col min="15623" max="15626" width="5.125" style="4" customWidth="1"/>
    <col min="15627" max="15629" width="3.625" style="4" bestFit="1" customWidth="1"/>
    <col min="15630" max="15630" width="9.125" style="4" customWidth="1"/>
    <col min="15631" max="15631" width="24.625" style="4" customWidth="1"/>
    <col min="15632" max="15633" width="9.125" style="4" customWidth="1"/>
    <col min="15634" max="15872" width="9" style="4"/>
    <col min="15873" max="15873" width="24.625" style="4" customWidth="1"/>
    <col min="15874" max="15874" width="5.125" style="4" bestFit="1" customWidth="1"/>
    <col min="15875" max="15875" width="5.125" style="4" customWidth="1"/>
    <col min="15876" max="15877" width="5.25" style="4" customWidth="1"/>
    <col min="15878" max="15878" width="9.125" style="4" customWidth="1"/>
    <col min="15879" max="15882" width="5.125" style="4" customWidth="1"/>
    <col min="15883" max="15885" width="3.625" style="4" bestFit="1" customWidth="1"/>
    <col min="15886" max="15886" width="9.125" style="4" customWidth="1"/>
    <col min="15887" max="15887" width="24.625" style="4" customWidth="1"/>
    <col min="15888" max="15889" width="9.125" style="4" customWidth="1"/>
    <col min="15890" max="16128" width="9" style="4"/>
    <col min="16129" max="16129" width="24.625" style="4" customWidth="1"/>
    <col min="16130" max="16130" width="5.125" style="4" bestFit="1" customWidth="1"/>
    <col min="16131" max="16131" width="5.125" style="4" customWidth="1"/>
    <col min="16132" max="16133" width="5.25" style="4" customWidth="1"/>
    <col min="16134" max="16134" width="9.125" style="4" customWidth="1"/>
    <col min="16135" max="16138" width="5.125" style="4" customWidth="1"/>
    <col min="16139" max="16141" width="3.625" style="4" bestFit="1" customWidth="1"/>
    <col min="16142" max="16142" width="9.125" style="4" customWidth="1"/>
    <col min="16143" max="16143" width="24.625" style="4" customWidth="1"/>
    <col min="16144" max="16145" width="9.125" style="4" customWidth="1"/>
    <col min="16146" max="16384" width="9" style="4"/>
  </cols>
  <sheetData>
    <row r="1" spans="1:18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4" t="s">
        <v>15</v>
      </c>
      <c r="Q1" s="5" t="s">
        <v>16</v>
      </c>
      <c r="R1" s="4" t="s">
        <v>266</v>
      </c>
    </row>
    <row r="2" spans="1:18" ht="15" customHeight="1" x14ac:dyDescent="0.15">
      <c r="A2" s="3" t="s">
        <v>267</v>
      </c>
      <c r="B2" s="2">
        <v>284</v>
      </c>
      <c r="C2" s="2">
        <v>81</v>
      </c>
      <c r="D2" s="2">
        <v>81</v>
      </c>
      <c r="E2" s="2"/>
      <c r="F2" s="2">
        <v>893</v>
      </c>
      <c r="G2" s="2">
        <v>71</v>
      </c>
      <c r="H2" s="2">
        <v>55</v>
      </c>
      <c r="I2" s="2"/>
      <c r="J2" s="2"/>
      <c r="K2" s="2">
        <v>1</v>
      </c>
      <c r="L2" s="2"/>
      <c r="M2" s="2"/>
      <c r="N2" s="3" t="s">
        <v>38</v>
      </c>
      <c r="O2" s="1" t="s">
        <v>19</v>
      </c>
      <c r="P2" s="4">
        <f>D2*0.22+E2*0.59+F2*1+G2*0.98+H2*0.76</f>
        <v>1022.2</v>
      </c>
      <c r="Q2" s="4">
        <f>P2+I2*1.88</f>
        <v>1022.2</v>
      </c>
      <c r="R2" s="4" t="b">
        <v>0</v>
      </c>
    </row>
    <row r="3" spans="1:18" ht="15" customHeight="1" x14ac:dyDescent="0.15">
      <c r="A3" s="1" t="s">
        <v>268</v>
      </c>
      <c r="B3" s="2">
        <v>277</v>
      </c>
      <c r="C3" s="2">
        <v>48</v>
      </c>
      <c r="D3" s="2">
        <v>52</v>
      </c>
      <c r="E3" s="2"/>
      <c r="F3" s="2">
        <v>836</v>
      </c>
      <c r="G3" s="2"/>
      <c r="H3" s="2"/>
      <c r="I3" s="2"/>
      <c r="J3" s="2"/>
      <c r="K3" s="2"/>
      <c r="L3" s="2">
        <v>1</v>
      </c>
      <c r="M3" s="2"/>
      <c r="N3" s="3" t="s">
        <v>38</v>
      </c>
      <c r="O3" s="1" t="s">
        <v>39</v>
      </c>
      <c r="P3" s="4">
        <f>D3*0.22+E3*0.59+F3*1+G3*0.98+H3*0.76</f>
        <v>847.44</v>
      </c>
      <c r="Q3" s="4">
        <f>P3+I3*1.88</f>
        <v>847.44</v>
      </c>
      <c r="R3" s="4" t="b">
        <v>0</v>
      </c>
    </row>
    <row r="4" spans="1:18" ht="15" customHeight="1" x14ac:dyDescent="0.15">
      <c r="A4" s="1" t="s">
        <v>269</v>
      </c>
      <c r="B4" s="2">
        <v>277</v>
      </c>
      <c r="C4" s="2">
        <v>75</v>
      </c>
      <c r="D4" s="2">
        <v>75</v>
      </c>
      <c r="E4" s="2">
        <v>66</v>
      </c>
      <c r="F4" s="2">
        <v>836</v>
      </c>
      <c r="G4" s="2"/>
      <c r="H4" s="2">
        <v>50</v>
      </c>
      <c r="I4" s="2"/>
      <c r="J4" s="2"/>
      <c r="K4" s="2"/>
      <c r="L4" s="2"/>
      <c r="M4" s="2">
        <v>1</v>
      </c>
      <c r="N4" s="3" t="s">
        <v>38</v>
      </c>
      <c r="O4" s="1" t="s">
        <v>41</v>
      </c>
      <c r="P4" s="4">
        <f>D4*0.22+E4*0.59+F4*1+G4*0.98+H4*0.76</f>
        <v>929.44</v>
      </c>
      <c r="Q4" s="4">
        <f>P4+I4*1.88</f>
        <v>929.44</v>
      </c>
      <c r="R4" s="4" t="b">
        <v>0</v>
      </c>
    </row>
    <row r="5" spans="1:18" ht="15" customHeight="1" x14ac:dyDescent="0.15">
      <c r="A5" s="1" t="s">
        <v>270</v>
      </c>
      <c r="B5" s="2">
        <v>271</v>
      </c>
      <c r="C5" s="2">
        <v>74</v>
      </c>
      <c r="D5" s="2">
        <v>63</v>
      </c>
      <c r="E5" s="2"/>
      <c r="F5" s="2">
        <v>791</v>
      </c>
      <c r="G5" s="2"/>
      <c r="H5" s="2">
        <v>55</v>
      </c>
      <c r="I5" s="2"/>
      <c r="J5" s="2">
        <v>31</v>
      </c>
      <c r="K5" s="2">
        <v>1</v>
      </c>
      <c r="L5" s="2"/>
      <c r="M5" s="2"/>
      <c r="N5" s="3" t="s">
        <v>38</v>
      </c>
      <c r="O5" s="1" t="s">
        <v>43</v>
      </c>
      <c r="P5" s="4">
        <f>D5*0.22+E5*0.59+F5*1+G5*0.98+H5*0.76</f>
        <v>846.66</v>
      </c>
      <c r="Q5" s="4">
        <f>P5+I5*1.88</f>
        <v>846.66</v>
      </c>
      <c r="R5" s="4" t="b">
        <v>0</v>
      </c>
    </row>
    <row r="6" spans="1:18" ht="15" customHeight="1" x14ac:dyDescent="0.15">
      <c r="A6" s="1" t="s">
        <v>37</v>
      </c>
      <c r="B6" s="2">
        <v>271</v>
      </c>
      <c r="C6" s="2">
        <v>71</v>
      </c>
      <c r="D6" s="2">
        <v>71</v>
      </c>
      <c r="E6" s="2"/>
      <c r="F6" s="2">
        <v>792</v>
      </c>
      <c r="G6" s="2">
        <v>63</v>
      </c>
      <c r="H6" s="2">
        <v>63</v>
      </c>
      <c r="I6" s="2"/>
      <c r="J6" s="2"/>
      <c r="K6" s="2"/>
      <c r="L6" s="2"/>
      <c r="M6" s="2"/>
      <c r="N6" s="3"/>
      <c r="O6" s="1" t="s">
        <v>23</v>
      </c>
      <c r="P6" s="4">
        <f t="shared" ref="P6:P17" si="0">D6*0.22+E6*0.59+F6*1+G6*0.98+H6*0.76</f>
        <v>917.24</v>
      </c>
      <c r="Q6" s="4">
        <f t="shared" ref="Q6:Q17" si="1">P6+I6*1.88</f>
        <v>917.24</v>
      </c>
      <c r="R6" s="4" t="b">
        <v>0</v>
      </c>
    </row>
    <row r="7" spans="1:18" ht="15" customHeight="1" x14ac:dyDescent="0.15">
      <c r="A7" s="3" t="s">
        <v>271</v>
      </c>
      <c r="B7" s="2">
        <v>271</v>
      </c>
      <c r="C7" s="2">
        <v>53</v>
      </c>
      <c r="D7" s="2">
        <v>66</v>
      </c>
      <c r="E7" s="2"/>
      <c r="F7" s="2">
        <v>791</v>
      </c>
      <c r="G7" s="2">
        <v>74</v>
      </c>
      <c r="H7" s="2">
        <v>49</v>
      </c>
      <c r="I7" s="2"/>
      <c r="J7" s="2"/>
      <c r="K7" s="2">
        <v>1</v>
      </c>
      <c r="L7" s="2"/>
      <c r="M7" s="2"/>
      <c r="N7" s="3" t="s">
        <v>38</v>
      </c>
      <c r="O7" s="1" t="s">
        <v>43</v>
      </c>
      <c r="P7" s="4">
        <f t="shared" si="0"/>
        <v>915.28</v>
      </c>
      <c r="Q7" s="4">
        <f t="shared" si="1"/>
        <v>915.28</v>
      </c>
      <c r="R7" s="4" t="b">
        <v>0</v>
      </c>
    </row>
    <row r="8" spans="1:18" ht="15" customHeight="1" x14ac:dyDescent="0.15">
      <c r="A8" s="3" t="s">
        <v>272</v>
      </c>
      <c r="B8" s="2">
        <v>264</v>
      </c>
      <c r="C8" s="2">
        <v>50</v>
      </c>
      <c r="D8" s="2">
        <v>61</v>
      </c>
      <c r="E8" s="2"/>
      <c r="F8" s="2">
        <v>741</v>
      </c>
      <c r="G8" s="2"/>
      <c r="H8" s="2">
        <v>46</v>
      </c>
      <c r="I8" s="2">
        <v>69</v>
      </c>
      <c r="J8" s="2"/>
      <c r="K8" s="2">
        <v>1</v>
      </c>
      <c r="L8" s="2"/>
      <c r="M8" s="2"/>
      <c r="N8" s="3" t="s">
        <v>38</v>
      </c>
      <c r="O8" s="1" t="s">
        <v>46</v>
      </c>
      <c r="P8" s="4">
        <f>D8*0.22+E8*0.59+F8*1+G8*0.98+H8*0.76</f>
        <v>789.38</v>
      </c>
      <c r="Q8" s="4">
        <f>P8+I8*1.88</f>
        <v>919.1</v>
      </c>
      <c r="R8" s="4" t="b">
        <v>0</v>
      </c>
    </row>
    <row r="9" spans="1:18" ht="15" customHeight="1" x14ac:dyDescent="0.15">
      <c r="A9" s="1" t="s">
        <v>273</v>
      </c>
      <c r="B9" s="2">
        <v>264</v>
      </c>
      <c r="C9" s="2">
        <v>65</v>
      </c>
      <c r="D9" s="2">
        <v>63</v>
      </c>
      <c r="E9" s="2"/>
      <c r="F9" s="2">
        <v>741</v>
      </c>
      <c r="G9" s="2">
        <v>51</v>
      </c>
      <c r="H9" s="2"/>
      <c r="I9" s="2"/>
      <c r="J9" s="2">
        <v>29</v>
      </c>
      <c r="K9" s="2">
        <v>1</v>
      </c>
      <c r="L9" s="2"/>
      <c r="M9" s="2"/>
      <c r="N9" s="3" t="s">
        <v>38</v>
      </c>
      <c r="O9" s="1" t="s">
        <v>48</v>
      </c>
      <c r="P9" s="4">
        <f>D9*0.22+E9*0.59+F9*1+G9*0.98+H9*0.76</f>
        <v>804.84</v>
      </c>
      <c r="Q9" s="4">
        <f>P9+I9*1.88</f>
        <v>804.84</v>
      </c>
      <c r="R9" s="4" t="b">
        <v>0</v>
      </c>
    </row>
    <row r="10" spans="1:18" ht="15" customHeight="1" x14ac:dyDescent="0.15">
      <c r="A10" s="1" t="s">
        <v>274</v>
      </c>
      <c r="B10" s="2">
        <v>264</v>
      </c>
      <c r="C10" s="2">
        <v>67</v>
      </c>
      <c r="D10" s="2">
        <v>59</v>
      </c>
      <c r="E10" s="2"/>
      <c r="F10" s="2">
        <v>741</v>
      </c>
      <c r="G10" s="2">
        <v>51</v>
      </c>
      <c r="H10" s="2"/>
      <c r="I10" s="2"/>
      <c r="J10" s="2">
        <v>27</v>
      </c>
      <c r="K10" s="2"/>
      <c r="L10" s="2">
        <v>1</v>
      </c>
      <c r="M10" s="2"/>
      <c r="N10" s="3" t="s">
        <v>50</v>
      </c>
      <c r="O10" s="1" t="s">
        <v>51</v>
      </c>
      <c r="P10" s="4">
        <f>D10*0.22+E10*0.59+F10*1+G10*0.98+H10*0.76</f>
        <v>803.96</v>
      </c>
      <c r="Q10" s="4">
        <f>P10+I10*1.88</f>
        <v>803.96</v>
      </c>
      <c r="R10" s="4" t="b">
        <v>0</v>
      </c>
    </row>
    <row r="11" spans="1:18" ht="15" customHeight="1" x14ac:dyDescent="0.15">
      <c r="A11" s="1" t="s">
        <v>283</v>
      </c>
      <c r="B11" s="2">
        <v>264</v>
      </c>
      <c r="C11" s="2">
        <v>53</v>
      </c>
      <c r="D11" s="2">
        <v>53</v>
      </c>
      <c r="E11" s="2"/>
      <c r="F11" s="2">
        <v>741</v>
      </c>
      <c r="G11" s="2"/>
      <c r="H11" s="2"/>
      <c r="I11" s="2"/>
      <c r="J11" s="2"/>
      <c r="K11" s="2"/>
      <c r="L11" s="2"/>
      <c r="M11" s="2"/>
      <c r="N11" s="3"/>
      <c r="O11" s="1" t="s">
        <v>52</v>
      </c>
      <c r="P11" s="4">
        <f>D11*0.22+E11*0.59+F11*1+G11*0.98+H11*0.76</f>
        <v>752.66</v>
      </c>
      <c r="Q11" s="4">
        <f>P11+I11*1.88</f>
        <v>752.66</v>
      </c>
      <c r="R11" s="4" t="b">
        <v>0</v>
      </c>
    </row>
    <row r="12" spans="1:18" ht="15" customHeight="1" x14ac:dyDescent="0.15">
      <c r="A12" s="1" t="s">
        <v>40</v>
      </c>
      <c r="B12" s="2">
        <v>264</v>
      </c>
      <c r="C12" s="2">
        <v>67</v>
      </c>
      <c r="D12" s="2">
        <v>67</v>
      </c>
      <c r="E12" s="2">
        <v>59</v>
      </c>
      <c r="F12" s="2">
        <v>741</v>
      </c>
      <c r="G12" s="2"/>
      <c r="H12" s="2">
        <v>59</v>
      </c>
      <c r="I12" s="2"/>
      <c r="J12" s="2"/>
      <c r="K12" s="2"/>
      <c r="L12" s="2"/>
      <c r="M12" s="2"/>
      <c r="N12" s="3"/>
      <c r="O12" s="1" t="s">
        <v>53</v>
      </c>
      <c r="P12" s="4">
        <f>D12*0.22+E12*0.59+F12*1+G12*0.98+H12*0.76</f>
        <v>835.39</v>
      </c>
      <c r="Q12" s="4">
        <f>P12+I12*1.88</f>
        <v>835.39</v>
      </c>
      <c r="R12" s="4" t="b">
        <v>0</v>
      </c>
    </row>
    <row r="13" spans="1:18" ht="15" customHeight="1" x14ac:dyDescent="0.15">
      <c r="A13" s="1" t="s">
        <v>44</v>
      </c>
      <c r="B13" s="2">
        <v>258</v>
      </c>
      <c r="C13" s="2">
        <v>47</v>
      </c>
      <c r="D13" s="2">
        <v>65</v>
      </c>
      <c r="E13" s="2"/>
      <c r="F13" s="2">
        <v>701</v>
      </c>
      <c r="G13" s="2">
        <v>65</v>
      </c>
      <c r="H13" s="2">
        <v>51</v>
      </c>
      <c r="I13" s="2"/>
      <c r="J13" s="2"/>
      <c r="K13" s="2"/>
      <c r="L13" s="2"/>
      <c r="M13" s="2"/>
      <c r="N13" s="3"/>
      <c r="O13" s="1" t="s">
        <v>54</v>
      </c>
      <c r="P13" s="4">
        <f t="shared" si="0"/>
        <v>817.76</v>
      </c>
      <c r="Q13" s="4">
        <f t="shared" si="1"/>
        <v>817.76</v>
      </c>
      <c r="R13" s="4" t="b">
        <v>0</v>
      </c>
    </row>
    <row r="14" spans="1:18" ht="15" customHeight="1" x14ac:dyDescent="0.15">
      <c r="A14" s="1" t="s">
        <v>42</v>
      </c>
      <c r="B14" s="2">
        <v>258</v>
      </c>
      <c r="C14" s="2">
        <v>65</v>
      </c>
      <c r="D14" s="2">
        <v>63</v>
      </c>
      <c r="E14" s="2"/>
      <c r="F14" s="2">
        <v>701</v>
      </c>
      <c r="G14" s="2"/>
      <c r="H14" s="2">
        <v>56</v>
      </c>
      <c r="I14" s="2"/>
      <c r="J14" s="2">
        <v>28</v>
      </c>
      <c r="K14" s="2"/>
      <c r="L14" s="2"/>
      <c r="M14" s="2"/>
      <c r="N14" s="3"/>
      <c r="O14" s="1" t="s">
        <v>54</v>
      </c>
      <c r="P14" s="4">
        <f t="shared" si="0"/>
        <v>757.42000000000007</v>
      </c>
      <c r="Q14" s="4">
        <f t="shared" si="1"/>
        <v>757.42000000000007</v>
      </c>
      <c r="R14" s="4" t="b">
        <v>0</v>
      </c>
    </row>
    <row r="15" spans="1:18" ht="15" customHeight="1" x14ac:dyDescent="0.15">
      <c r="A15" s="1" t="s">
        <v>45</v>
      </c>
      <c r="B15" s="2">
        <v>251</v>
      </c>
      <c r="C15" s="2">
        <v>44</v>
      </c>
      <c r="D15" s="2">
        <v>61</v>
      </c>
      <c r="E15" s="2"/>
      <c r="F15" s="2">
        <v>657</v>
      </c>
      <c r="G15" s="2"/>
      <c r="H15" s="2">
        <v>47</v>
      </c>
      <c r="I15" s="2">
        <v>61</v>
      </c>
      <c r="J15" s="2"/>
      <c r="K15" s="2"/>
      <c r="L15" s="2"/>
      <c r="M15" s="2"/>
      <c r="N15" s="3"/>
      <c r="O15" s="1" t="s">
        <v>55</v>
      </c>
      <c r="P15" s="4">
        <f t="shared" si="0"/>
        <v>706.14</v>
      </c>
      <c r="Q15" s="4">
        <f t="shared" si="1"/>
        <v>820.81999999999994</v>
      </c>
      <c r="R15" s="4" t="b">
        <v>0</v>
      </c>
    </row>
    <row r="16" spans="1:18" ht="15" customHeight="1" x14ac:dyDescent="0.15">
      <c r="A16" s="1" t="s">
        <v>47</v>
      </c>
      <c r="B16" s="2">
        <v>251</v>
      </c>
      <c r="C16" s="2">
        <v>68</v>
      </c>
      <c r="D16" s="2">
        <v>56</v>
      </c>
      <c r="E16" s="2"/>
      <c r="F16" s="2">
        <v>657</v>
      </c>
      <c r="G16" s="2">
        <v>52</v>
      </c>
      <c r="H16" s="2"/>
      <c r="I16" s="2"/>
      <c r="J16" s="2">
        <v>26</v>
      </c>
      <c r="K16" s="2"/>
      <c r="L16" s="2"/>
      <c r="M16" s="2"/>
      <c r="N16" s="3"/>
      <c r="O16" s="1" t="s">
        <v>56</v>
      </c>
      <c r="P16" s="4">
        <f t="shared" si="0"/>
        <v>720.28000000000009</v>
      </c>
      <c r="Q16" s="4">
        <f t="shared" si="1"/>
        <v>720.28000000000009</v>
      </c>
      <c r="R16" s="4" t="b">
        <v>0</v>
      </c>
    </row>
    <row r="17" spans="1:18" ht="15" customHeight="1" x14ac:dyDescent="0.15">
      <c r="A17" s="1" t="s">
        <v>49</v>
      </c>
      <c r="B17" s="2">
        <v>251</v>
      </c>
      <c r="C17" s="2">
        <v>59</v>
      </c>
      <c r="D17" s="2">
        <v>59</v>
      </c>
      <c r="E17" s="2"/>
      <c r="F17" s="2">
        <v>657</v>
      </c>
      <c r="G17" s="2">
        <v>46</v>
      </c>
      <c r="H17" s="2"/>
      <c r="I17" s="2"/>
      <c r="J17" s="2">
        <v>28</v>
      </c>
      <c r="K17" s="2"/>
      <c r="L17" s="2"/>
      <c r="M17" s="2"/>
      <c r="N17" s="3"/>
      <c r="O17" s="1" t="s">
        <v>57</v>
      </c>
      <c r="P17" s="4">
        <f t="shared" si="0"/>
        <v>715.06000000000006</v>
      </c>
      <c r="Q17" s="4">
        <f t="shared" si="1"/>
        <v>715.06000000000006</v>
      </c>
      <c r="R17" s="4" t="b">
        <v>0</v>
      </c>
    </row>
    <row r="18" spans="1:18" ht="15" customHeight="1" x14ac:dyDescent="0.15">
      <c r="A18" s="1" t="s">
        <v>275</v>
      </c>
      <c r="B18" s="2">
        <v>284</v>
      </c>
      <c r="C18" s="2">
        <v>188</v>
      </c>
      <c r="D18" s="2">
        <v>188</v>
      </c>
      <c r="E18" s="2">
        <v>141</v>
      </c>
      <c r="F18" s="2">
        <v>893</v>
      </c>
      <c r="G18" s="2">
        <v>141</v>
      </c>
      <c r="H18" s="2"/>
      <c r="I18" s="2"/>
      <c r="J18" s="2"/>
      <c r="K18" s="2">
        <v>3</v>
      </c>
      <c r="L18" s="2"/>
      <c r="M18" s="2"/>
      <c r="N18" s="3" t="s">
        <v>18</v>
      </c>
      <c r="O18" s="1" t="s">
        <v>19</v>
      </c>
      <c r="P18" s="4">
        <f>D18*0.22+E18*0.59+F18*1+G18*0.98+H18*0.76</f>
        <v>1155.73</v>
      </c>
      <c r="Q18" s="4">
        <f>P18+I18*1.88</f>
        <v>1155.73</v>
      </c>
      <c r="R18" s="4" t="b">
        <v>1</v>
      </c>
    </row>
    <row r="19" spans="1:18" ht="15" customHeight="1" x14ac:dyDescent="0.15">
      <c r="A19" s="1" t="s">
        <v>276</v>
      </c>
      <c r="B19" s="2">
        <v>277</v>
      </c>
      <c r="C19" s="2">
        <v>176</v>
      </c>
      <c r="D19" s="2">
        <v>176</v>
      </c>
      <c r="E19" s="2">
        <v>131</v>
      </c>
      <c r="F19" s="2">
        <v>837</v>
      </c>
      <c r="G19" s="2">
        <v>131</v>
      </c>
      <c r="H19" s="2"/>
      <c r="I19" s="2"/>
      <c r="J19" s="2"/>
      <c r="K19" s="2">
        <v>1</v>
      </c>
      <c r="L19" s="2">
        <v>1</v>
      </c>
      <c r="M19" s="2">
        <v>1</v>
      </c>
      <c r="N19" s="3" t="s">
        <v>18</v>
      </c>
      <c r="O19" s="1" t="s">
        <v>21</v>
      </c>
      <c r="P19" s="4">
        <f>D19*0.22+E19*0.59+F19*1+G19*0.98+H19*0.76</f>
        <v>1081.3899999999999</v>
      </c>
      <c r="Q19" s="4">
        <f>P19+I19*1.88</f>
        <v>1081.3899999999999</v>
      </c>
      <c r="R19" s="4" t="b">
        <v>1</v>
      </c>
    </row>
    <row r="20" spans="1:18" ht="15" customHeight="1" x14ac:dyDescent="0.15">
      <c r="A20" s="1" t="s">
        <v>277</v>
      </c>
      <c r="B20" s="2">
        <v>277</v>
      </c>
      <c r="C20" s="2">
        <v>103</v>
      </c>
      <c r="D20" s="2">
        <v>115</v>
      </c>
      <c r="E20" s="2"/>
      <c r="F20" s="2">
        <v>837</v>
      </c>
      <c r="G20" s="2"/>
      <c r="H20" s="2"/>
      <c r="I20" s="2"/>
      <c r="J20" s="2"/>
      <c r="K20" s="2">
        <v>1</v>
      </c>
      <c r="L20" s="2">
        <v>1</v>
      </c>
      <c r="M20" s="2">
        <v>1</v>
      </c>
      <c r="N20" s="3" t="s">
        <v>18</v>
      </c>
      <c r="O20" s="1" t="s">
        <v>22</v>
      </c>
      <c r="P20" s="4">
        <f>D20*0.22+E20*0.59+F20*1+G20*0.98+H20*0.76</f>
        <v>862.3</v>
      </c>
      <c r="Q20" s="4">
        <f>P20+I20*1.88</f>
        <v>862.3</v>
      </c>
      <c r="R20" s="4" t="b">
        <v>1</v>
      </c>
    </row>
    <row r="21" spans="1:18" ht="15" customHeight="1" x14ac:dyDescent="0.15">
      <c r="A21" s="1" t="s">
        <v>17</v>
      </c>
      <c r="B21" s="2">
        <v>271</v>
      </c>
      <c r="C21" s="2">
        <v>167</v>
      </c>
      <c r="D21" s="2">
        <v>167</v>
      </c>
      <c r="E21" s="2">
        <v>130</v>
      </c>
      <c r="F21" s="2">
        <v>792</v>
      </c>
      <c r="G21" s="2">
        <v>130</v>
      </c>
      <c r="H21" s="2"/>
      <c r="I21" s="2"/>
      <c r="J21" s="2"/>
      <c r="K21" s="2">
        <v>3</v>
      </c>
      <c r="L21" s="2"/>
      <c r="M21" s="2"/>
      <c r="N21" s="3" t="s">
        <v>18</v>
      </c>
      <c r="O21" s="1" t="s">
        <v>23</v>
      </c>
      <c r="P21" s="4">
        <f t="shared" ref="P21:P29" si="2">D21*0.22+E21*0.59+F21*1+G21*0.98+H21*0.76</f>
        <v>1032.8400000000001</v>
      </c>
      <c r="Q21" s="4">
        <f t="shared" ref="Q21:Q29" si="3">P21+I21*1.88</f>
        <v>1032.8400000000001</v>
      </c>
      <c r="R21" s="4" t="b">
        <v>1</v>
      </c>
    </row>
    <row r="22" spans="1:18" ht="15" customHeight="1" x14ac:dyDescent="0.15">
      <c r="A22" s="1" t="s">
        <v>278</v>
      </c>
      <c r="B22" s="2">
        <v>264</v>
      </c>
      <c r="C22" s="2">
        <v>123</v>
      </c>
      <c r="D22" s="2">
        <v>138</v>
      </c>
      <c r="E22" s="2"/>
      <c r="F22" s="2">
        <v>741</v>
      </c>
      <c r="G22" s="2">
        <v>150</v>
      </c>
      <c r="H22" s="2"/>
      <c r="I22" s="2">
        <v>111</v>
      </c>
      <c r="J22" s="2"/>
      <c r="K22" s="2">
        <v>1</v>
      </c>
      <c r="L22" s="2">
        <v>1</v>
      </c>
      <c r="M22" s="2">
        <v>1</v>
      </c>
      <c r="N22" s="3" t="s">
        <v>24</v>
      </c>
      <c r="O22" s="1" t="s">
        <v>25</v>
      </c>
      <c r="P22" s="4">
        <f>D22*0.22+E22*0.59+F22*1+G22*0.98+H22*0.76</f>
        <v>918.36</v>
      </c>
      <c r="Q22" s="4">
        <f>P22+I22*1.88</f>
        <v>1127.04</v>
      </c>
      <c r="R22" s="4" t="b">
        <v>1</v>
      </c>
    </row>
    <row r="23" spans="1:18" ht="15" customHeight="1" x14ac:dyDescent="0.15">
      <c r="A23" s="1" t="s">
        <v>279</v>
      </c>
      <c r="B23" s="2">
        <v>264</v>
      </c>
      <c r="C23" s="2">
        <v>105</v>
      </c>
      <c r="D23" s="2">
        <v>111</v>
      </c>
      <c r="E23" s="2">
        <v>150</v>
      </c>
      <c r="F23" s="2">
        <v>741</v>
      </c>
      <c r="G23" s="2">
        <v>150</v>
      </c>
      <c r="H23" s="2"/>
      <c r="I23" s="2"/>
      <c r="J23" s="2"/>
      <c r="K23" s="2"/>
      <c r="L23" s="2"/>
      <c r="M23" s="2">
        <v>3</v>
      </c>
      <c r="N23" s="3" t="s">
        <v>18</v>
      </c>
      <c r="O23" s="1" t="s">
        <v>27</v>
      </c>
      <c r="P23" s="4">
        <f>D23*0.22+E23*0.59+F23*1+G23*0.98+H23*0.76</f>
        <v>1000.92</v>
      </c>
      <c r="Q23" s="4">
        <f>P23+I23*1.88</f>
        <v>1000.92</v>
      </c>
      <c r="R23" s="4" t="b">
        <v>1</v>
      </c>
    </row>
    <row r="24" spans="1:18" ht="15" customHeight="1" x14ac:dyDescent="0.15">
      <c r="A24" s="1" t="s">
        <v>280</v>
      </c>
      <c r="B24" s="2">
        <v>264</v>
      </c>
      <c r="C24" s="2">
        <v>123</v>
      </c>
      <c r="D24" s="2">
        <v>138</v>
      </c>
      <c r="E24" s="2"/>
      <c r="F24" s="2">
        <v>741</v>
      </c>
      <c r="G24" s="2"/>
      <c r="H24" s="2">
        <v>111</v>
      </c>
      <c r="I24" s="2">
        <v>150</v>
      </c>
      <c r="J24" s="2"/>
      <c r="K24" s="2">
        <v>2</v>
      </c>
      <c r="L24" s="2">
        <v>1</v>
      </c>
      <c r="M24" s="2"/>
      <c r="N24" s="3" t="s">
        <v>18</v>
      </c>
      <c r="O24" s="1" t="s">
        <v>29</v>
      </c>
      <c r="P24" s="4">
        <f t="shared" si="2"/>
        <v>855.72</v>
      </c>
      <c r="Q24" s="4">
        <f t="shared" si="3"/>
        <v>1137.72</v>
      </c>
      <c r="R24" s="4" t="b">
        <v>1</v>
      </c>
    </row>
    <row r="25" spans="1:18" ht="15" customHeight="1" x14ac:dyDescent="0.15">
      <c r="A25" s="1" t="s">
        <v>20</v>
      </c>
      <c r="B25" s="2">
        <v>264</v>
      </c>
      <c r="C25" s="2">
        <v>156</v>
      </c>
      <c r="D25" s="2">
        <v>156</v>
      </c>
      <c r="E25" s="2">
        <v>121</v>
      </c>
      <c r="F25" s="2">
        <v>741</v>
      </c>
      <c r="G25" s="2">
        <v>121</v>
      </c>
      <c r="H25" s="2"/>
      <c r="I25" s="2"/>
      <c r="J25" s="2"/>
      <c r="K25" s="2"/>
      <c r="L25" s="2">
        <v>1</v>
      </c>
      <c r="M25" s="2">
        <v>1</v>
      </c>
      <c r="N25" s="3" t="s">
        <v>30</v>
      </c>
      <c r="O25" s="1" t="s">
        <v>31</v>
      </c>
      <c r="P25" s="4">
        <f>D25*0.22+E25*0.59+F25*1+G25*0.98+H25*0.76</f>
        <v>965.29000000000008</v>
      </c>
      <c r="Q25" s="4">
        <f>P25+I25*1.88</f>
        <v>965.29000000000008</v>
      </c>
      <c r="R25" s="4" t="b">
        <v>1</v>
      </c>
    </row>
    <row r="26" spans="1:18" ht="15" customHeight="1" x14ac:dyDescent="0.15">
      <c r="A26" s="1" t="s">
        <v>282</v>
      </c>
      <c r="B26" s="2">
        <v>264</v>
      </c>
      <c r="C26" s="2">
        <v>99</v>
      </c>
      <c r="D26" s="2">
        <v>107</v>
      </c>
      <c r="E26" s="2"/>
      <c r="F26" s="2">
        <v>741</v>
      </c>
      <c r="G26" s="2"/>
      <c r="H26" s="2"/>
      <c r="I26" s="2"/>
      <c r="J26" s="2"/>
      <c r="K26" s="2">
        <v>1</v>
      </c>
      <c r="L26" s="2"/>
      <c r="M26" s="2">
        <v>1</v>
      </c>
      <c r="N26" s="3" t="s">
        <v>30</v>
      </c>
      <c r="O26" s="1" t="s">
        <v>32</v>
      </c>
      <c r="P26" s="4">
        <f>D26*0.22+E26*0.59+F26*1+G26*0.98+H26*0.76</f>
        <v>764.54</v>
      </c>
      <c r="Q26" s="4">
        <f>P26+I26*1.88</f>
        <v>764.54</v>
      </c>
      <c r="R26" s="4" t="b">
        <v>1</v>
      </c>
    </row>
    <row r="27" spans="1:18" ht="15" customHeight="1" x14ac:dyDescent="0.15">
      <c r="A27" s="1" t="s">
        <v>28</v>
      </c>
      <c r="B27" s="2">
        <v>251</v>
      </c>
      <c r="C27" s="2">
        <v>109</v>
      </c>
      <c r="D27" s="2">
        <v>128</v>
      </c>
      <c r="E27" s="2"/>
      <c r="F27" s="2">
        <v>657</v>
      </c>
      <c r="G27" s="2"/>
      <c r="H27" s="2">
        <v>101</v>
      </c>
      <c r="I27" s="2">
        <v>136</v>
      </c>
      <c r="J27" s="2"/>
      <c r="K27" s="2">
        <v>1</v>
      </c>
      <c r="L27" s="2">
        <v>1</v>
      </c>
      <c r="M27" s="2"/>
      <c r="N27" s="3" t="s">
        <v>30</v>
      </c>
      <c r="O27" s="1" t="s">
        <v>33</v>
      </c>
      <c r="P27" s="4">
        <f t="shared" si="2"/>
        <v>761.92</v>
      </c>
      <c r="Q27" s="4">
        <f t="shared" si="3"/>
        <v>1017.5999999999999</v>
      </c>
      <c r="R27" s="4" t="b">
        <v>1</v>
      </c>
    </row>
    <row r="28" spans="1:18" ht="15" customHeight="1" x14ac:dyDescent="0.15">
      <c r="A28" s="1" t="s">
        <v>281</v>
      </c>
      <c r="B28" s="2">
        <v>251</v>
      </c>
      <c r="C28" s="2">
        <v>109</v>
      </c>
      <c r="D28" s="2">
        <v>128</v>
      </c>
      <c r="E28" s="2"/>
      <c r="F28" s="2">
        <v>657</v>
      </c>
      <c r="G28" s="2">
        <v>136</v>
      </c>
      <c r="H28" s="2"/>
      <c r="I28" s="2">
        <v>101</v>
      </c>
      <c r="J28" s="2"/>
      <c r="K28" s="2">
        <v>1</v>
      </c>
      <c r="L28" s="2"/>
      <c r="M28" s="2">
        <v>1</v>
      </c>
      <c r="N28" s="3" t="s">
        <v>34</v>
      </c>
      <c r="O28" s="1" t="s">
        <v>35</v>
      </c>
      <c r="P28" s="4">
        <f t="shared" si="2"/>
        <v>818.43999999999994</v>
      </c>
      <c r="Q28" s="4">
        <f t="shared" si="3"/>
        <v>1008.3199999999999</v>
      </c>
      <c r="R28" s="4" t="b">
        <v>1</v>
      </c>
    </row>
    <row r="29" spans="1:18" ht="15" customHeight="1" x14ac:dyDescent="0.15">
      <c r="A29" s="1" t="s">
        <v>26</v>
      </c>
      <c r="B29" s="2">
        <v>251</v>
      </c>
      <c r="C29" s="2">
        <v>97</v>
      </c>
      <c r="D29" s="2">
        <v>101</v>
      </c>
      <c r="E29" s="2">
        <v>136</v>
      </c>
      <c r="F29" s="2">
        <v>657</v>
      </c>
      <c r="G29" s="2">
        <v>136</v>
      </c>
      <c r="H29" s="2"/>
      <c r="I29" s="2"/>
      <c r="J29" s="2"/>
      <c r="K29" s="2"/>
      <c r="L29" s="2"/>
      <c r="M29" s="2">
        <v>2</v>
      </c>
      <c r="N29" s="3" t="s">
        <v>30</v>
      </c>
      <c r="O29" s="1" t="s">
        <v>36</v>
      </c>
      <c r="P29" s="4">
        <f t="shared" si="2"/>
        <v>892.74</v>
      </c>
      <c r="Q29" s="4">
        <f t="shared" si="3"/>
        <v>892.74</v>
      </c>
      <c r="R29" s="4" t="b">
        <v>1</v>
      </c>
    </row>
    <row r="30" spans="1:18" ht="15" customHeight="1" x14ac:dyDescent="0.15">
      <c r="A30" s="62" t="s">
        <v>576</v>
      </c>
      <c r="B30" s="11">
        <v>277</v>
      </c>
      <c r="C30" s="11">
        <v>99</v>
      </c>
      <c r="D30" s="11">
        <v>66</v>
      </c>
      <c r="E30" s="11"/>
      <c r="F30" s="11">
        <v>836</v>
      </c>
      <c r="G30" s="11">
        <v>58</v>
      </c>
      <c r="H30" s="11"/>
      <c r="I30" s="11"/>
      <c r="J30" s="11"/>
      <c r="K30" s="11"/>
      <c r="L30" s="11"/>
      <c r="M30" s="11">
        <v>1</v>
      </c>
      <c r="N30" s="63" t="s">
        <v>577</v>
      </c>
      <c r="O30" s="62" t="s">
        <v>578</v>
      </c>
      <c r="P30" s="64">
        <f t="shared" ref="P30:P51" si="4">D30*0.22+E30*0.59+F30*1+G30*0.98+H30*0.76</f>
        <v>907.36</v>
      </c>
      <c r="Q30" s="64">
        <f t="shared" ref="Q30:Q51" si="5">P30+I30*1.88</f>
        <v>907.36</v>
      </c>
      <c r="R30" s="64" t="b">
        <v>0</v>
      </c>
    </row>
    <row r="31" spans="1:18" ht="15" customHeight="1" x14ac:dyDescent="0.15">
      <c r="A31" s="62" t="s">
        <v>597</v>
      </c>
      <c r="B31" s="11">
        <v>277</v>
      </c>
      <c r="C31" s="11">
        <v>265</v>
      </c>
      <c r="D31" s="11">
        <v>118</v>
      </c>
      <c r="E31" s="11">
        <v>139</v>
      </c>
      <c r="F31" s="11">
        <v>838</v>
      </c>
      <c r="G31" s="11"/>
      <c r="H31" s="11"/>
      <c r="I31" s="11"/>
      <c r="J31" s="11"/>
      <c r="K31" s="11">
        <v>1</v>
      </c>
      <c r="L31" s="11"/>
      <c r="M31" s="11">
        <v>1</v>
      </c>
      <c r="N31" s="63" t="s">
        <v>600</v>
      </c>
      <c r="O31" s="62" t="s">
        <v>601</v>
      </c>
      <c r="P31" s="64">
        <f t="shared" si="4"/>
        <v>945.97</v>
      </c>
      <c r="Q31" s="64">
        <f t="shared" si="5"/>
        <v>945.97</v>
      </c>
      <c r="R31" s="64" t="b">
        <v>1</v>
      </c>
    </row>
    <row r="32" spans="1:18" ht="15" customHeight="1" x14ac:dyDescent="0.15">
      <c r="A32" s="62" t="s">
        <v>598</v>
      </c>
      <c r="B32" s="11">
        <v>277</v>
      </c>
      <c r="C32" s="11">
        <v>265</v>
      </c>
      <c r="D32" s="11">
        <v>118</v>
      </c>
      <c r="E32" s="11"/>
      <c r="F32" s="11">
        <v>838</v>
      </c>
      <c r="G32" s="11">
        <v>139</v>
      </c>
      <c r="H32" s="11"/>
      <c r="I32" s="11"/>
      <c r="J32" s="11"/>
      <c r="K32" s="11">
        <v>1</v>
      </c>
      <c r="L32" s="11"/>
      <c r="M32" s="11">
        <v>1</v>
      </c>
      <c r="N32" s="63" t="s">
        <v>600</v>
      </c>
      <c r="O32" s="62" t="s">
        <v>601</v>
      </c>
      <c r="P32" s="64">
        <f t="shared" si="4"/>
        <v>1000.1800000000001</v>
      </c>
      <c r="Q32" s="64">
        <f t="shared" si="5"/>
        <v>1000.1800000000001</v>
      </c>
      <c r="R32" s="64" t="b">
        <v>1</v>
      </c>
    </row>
    <row r="33" spans="1:18" ht="15" customHeight="1" x14ac:dyDescent="0.15">
      <c r="A33" s="62" t="s">
        <v>599</v>
      </c>
      <c r="B33" s="11">
        <v>277</v>
      </c>
      <c r="C33" s="11">
        <v>265</v>
      </c>
      <c r="D33" s="11">
        <v>118</v>
      </c>
      <c r="E33" s="11"/>
      <c r="F33" s="11">
        <v>838</v>
      </c>
      <c r="G33" s="11"/>
      <c r="H33" s="11">
        <v>139</v>
      </c>
      <c r="I33" s="11"/>
      <c r="J33" s="11"/>
      <c r="K33" s="11">
        <v>1</v>
      </c>
      <c r="L33" s="11"/>
      <c r="M33" s="11">
        <v>1</v>
      </c>
      <c r="N33" s="63" t="s">
        <v>600</v>
      </c>
      <c r="O33" s="62" t="s">
        <v>601</v>
      </c>
      <c r="P33" s="64">
        <f t="shared" si="4"/>
        <v>969.6</v>
      </c>
      <c r="Q33" s="64">
        <f t="shared" si="5"/>
        <v>969.6</v>
      </c>
      <c r="R33" s="64" t="b">
        <v>1</v>
      </c>
    </row>
    <row r="34" spans="1:18" ht="15" customHeight="1" x14ac:dyDescent="0.15">
      <c r="A34" s="62" t="s">
        <v>603</v>
      </c>
      <c r="B34" s="11">
        <v>271</v>
      </c>
      <c r="C34" s="11">
        <v>126</v>
      </c>
      <c r="D34" s="11">
        <v>153</v>
      </c>
      <c r="E34" s="11"/>
      <c r="F34" s="11">
        <v>793</v>
      </c>
      <c r="G34" s="11">
        <v>120</v>
      </c>
      <c r="H34" s="11">
        <v>161</v>
      </c>
      <c r="I34" s="11"/>
      <c r="J34" s="11"/>
      <c r="K34" s="11">
        <v>3</v>
      </c>
      <c r="L34" s="11"/>
      <c r="M34" s="11"/>
      <c r="N34" s="63" t="s">
        <v>604</v>
      </c>
      <c r="O34" s="62" t="s">
        <v>605</v>
      </c>
      <c r="P34" s="64">
        <f t="shared" si="4"/>
        <v>1066.6199999999999</v>
      </c>
      <c r="Q34" s="64">
        <f t="shared" si="5"/>
        <v>1066.6199999999999</v>
      </c>
      <c r="R34" s="64" t="b">
        <v>1</v>
      </c>
    </row>
    <row r="35" spans="1:18" ht="15" customHeight="1" x14ac:dyDescent="0.15">
      <c r="A35" s="62" t="s">
        <v>606</v>
      </c>
      <c r="B35" s="11">
        <v>264</v>
      </c>
      <c r="C35" s="11">
        <v>234</v>
      </c>
      <c r="D35" s="11">
        <v>104</v>
      </c>
      <c r="E35" s="11">
        <v>121</v>
      </c>
      <c r="F35" s="11">
        <v>741</v>
      </c>
      <c r="G35" s="11"/>
      <c r="H35" s="11"/>
      <c r="I35" s="11"/>
      <c r="J35" s="11"/>
      <c r="K35" s="11">
        <v>1</v>
      </c>
      <c r="L35" s="11"/>
      <c r="M35" s="11">
        <v>1</v>
      </c>
      <c r="N35" s="63" t="s">
        <v>600</v>
      </c>
      <c r="O35" s="62" t="s">
        <v>601</v>
      </c>
      <c r="P35" s="64">
        <f t="shared" si="4"/>
        <v>835.27</v>
      </c>
      <c r="Q35" s="64">
        <f t="shared" si="5"/>
        <v>835.27</v>
      </c>
      <c r="R35" s="64" t="b">
        <v>1</v>
      </c>
    </row>
    <row r="36" spans="1:18" ht="15" customHeight="1" x14ac:dyDescent="0.15">
      <c r="A36" s="62" t="s">
        <v>607</v>
      </c>
      <c r="B36" s="11">
        <v>264</v>
      </c>
      <c r="C36" s="11">
        <v>234</v>
      </c>
      <c r="D36" s="11">
        <v>104</v>
      </c>
      <c r="E36" s="11"/>
      <c r="F36" s="11">
        <v>741</v>
      </c>
      <c r="G36" s="11">
        <v>121</v>
      </c>
      <c r="H36" s="11"/>
      <c r="I36" s="11"/>
      <c r="J36" s="11"/>
      <c r="K36" s="11">
        <v>1</v>
      </c>
      <c r="L36" s="11"/>
      <c r="M36" s="11">
        <v>1</v>
      </c>
      <c r="N36" s="63" t="s">
        <v>600</v>
      </c>
      <c r="O36" s="62" t="s">
        <v>601</v>
      </c>
      <c r="P36" s="64">
        <f t="shared" si="4"/>
        <v>882.46</v>
      </c>
      <c r="Q36" s="64">
        <f t="shared" si="5"/>
        <v>882.46</v>
      </c>
      <c r="R36" s="64" t="b">
        <v>1</v>
      </c>
    </row>
    <row r="37" spans="1:18" ht="15" customHeight="1" x14ac:dyDescent="0.15">
      <c r="A37" s="62" t="s">
        <v>608</v>
      </c>
      <c r="B37" s="11">
        <v>264</v>
      </c>
      <c r="C37" s="11">
        <v>234</v>
      </c>
      <c r="D37" s="11">
        <v>104</v>
      </c>
      <c r="E37" s="11"/>
      <c r="F37" s="11">
        <v>741</v>
      </c>
      <c r="G37" s="11"/>
      <c r="H37" s="11">
        <v>121</v>
      </c>
      <c r="I37" s="11"/>
      <c r="J37" s="11"/>
      <c r="K37" s="11">
        <v>1</v>
      </c>
      <c r="L37" s="11"/>
      <c r="M37" s="11">
        <v>1</v>
      </c>
      <c r="N37" s="63" t="s">
        <v>600</v>
      </c>
      <c r="O37" s="62" t="s">
        <v>601</v>
      </c>
      <c r="P37" s="64">
        <f t="shared" si="4"/>
        <v>855.84</v>
      </c>
      <c r="Q37" s="64">
        <f t="shared" si="5"/>
        <v>855.84</v>
      </c>
      <c r="R37" s="64" t="b">
        <v>1</v>
      </c>
    </row>
    <row r="38" spans="1:18" ht="15" customHeight="1" x14ac:dyDescent="0.15">
      <c r="A38" s="62" t="s">
        <v>602</v>
      </c>
      <c r="B38" s="11">
        <v>258</v>
      </c>
      <c r="C38" s="11">
        <v>116</v>
      </c>
      <c r="D38" s="11">
        <v>137</v>
      </c>
      <c r="E38" s="11"/>
      <c r="F38" s="11">
        <v>701</v>
      </c>
      <c r="G38" s="11">
        <v>108</v>
      </c>
      <c r="H38" s="11">
        <v>145</v>
      </c>
      <c r="I38" s="11"/>
      <c r="J38" s="11"/>
      <c r="K38" s="11">
        <v>1</v>
      </c>
      <c r="L38" s="11">
        <v>1</v>
      </c>
      <c r="M38" s="11"/>
      <c r="N38" s="63" t="s">
        <v>600</v>
      </c>
      <c r="O38" s="62" t="s">
        <v>609</v>
      </c>
      <c r="P38" s="64">
        <f t="shared" si="4"/>
        <v>947.18000000000006</v>
      </c>
      <c r="Q38" s="64">
        <f t="shared" si="5"/>
        <v>947.18000000000006</v>
      </c>
      <c r="R38" s="64" t="b">
        <v>1</v>
      </c>
    </row>
    <row r="39" spans="1:18" ht="15" customHeight="1" x14ac:dyDescent="0.15">
      <c r="A39" s="62" t="s">
        <v>612</v>
      </c>
      <c r="B39" s="11">
        <v>245</v>
      </c>
      <c r="C39" s="11">
        <v>103</v>
      </c>
      <c r="D39" s="11">
        <v>120</v>
      </c>
      <c r="E39" s="11"/>
      <c r="F39" s="11">
        <v>621</v>
      </c>
      <c r="G39" s="11">
        <v>128</v>
      </c>
      <c r="H39" s="11">
        <v>95</v>
      </c>
      <c r="I39" s="11"/>
      <c r="J39" s="11"/>
      <c r="K39" s="11">
        <v>1</v>
      </c>
      <c r="L39" s="11">
        <v>1</v>
      </c>
      <c r="M39" s="11"/>
      <c r="N39" s="63" t="s">
        <v>610</v>
      </c>
      <c r="O39" s="62" t="s">
        <v>611</v>
      </c>
      <c r="P39" s="64">
        <f t="shared" si="4"/>
        <v>845.04</v>
      </c>
      <c r="Q39" s="64">
        <f t="shared" si="5"/>
        <v>845.04</v>
      </c>
      <c r="R39" s="64" t="b">
        <v>1</v>
      </c>
    </row>
    <row r="40" spans="1:18" ht="15" customHeight="1" x14ac:dyDescent="0.15">
      <c r="A40" s="62" t="s">
        <v>613</v>
      </c>
      <c r="B40" s="11">
        <v>245</v>
      </c>
      <c r="C40" s="11">
        <v>73</v>
      </c>
      <c r="D40" s="11">
        <v>103</v>
      </c>
      <c r="E40" s="11"/>
      <c r="F40" s="11">
        <v>621</v>
      </c>
      <c r="G40" s="11">
        <v>117</v>
      </c>
      <c r="H40" s="11">
        <v>122</v>
      </c>
      <c r="I40" s="11"/>
      <c r="J40" s="11"/>
      <c r="K40" s="11"/>
      <c r="L40" s="11">
        <v>2</v>
      </c>
      <c r="M40" s="11">
        <v>1</v>
      </c>
      <c r="N40" s="63" t="s">
        <v>614</v>
      </c>
      <c r="O40" s="62" t="s">
        <v>611</v>
      </c>
      <c r="P40" s="64">
        <f t="shared" si="4"/>
        <v>851.04</v>
      </c>
      <c r="Q40" s="64">
        <f t="shared" si="5"/>
        <v>851.04</v>
      </c>
      <c r="R40" s="64" t="b">
        <v>1</v>
      </c>
    </row>
    <row r="41" spans="1:18" ht="15" customHeight="1" x14ac:dyDescent="0.15">
      <c r="A41" s="62" t="s">
        <v>615</v>
      </c>
      <c r="B41" s="11">
        <v>277</v>
      </c>
      <c r="C41" s="11">
        <v>99</v>
      </c>
      <c r="D41" s="11">
        <v>66</v>
      </c>
      <c r="E41" s="11"/>
      <c r="F41" s="11">
        <v>836</v>
      </c>
      <c r="G41" s="11"/>
      <c r="H41" s="11"/>
      <c r="I41" s="11"/>
      <c r="J41" s="11">
        <v>29</v>
      </c>
      <c r="K41" s="11"/>
      <c r="L41" s="11"/>
      <c r="M41" s="11">
        <v>1</v>
      </c>
      <c r="N41" s="63" t="s">
        <v>616</v>
      </c>
      <c r="O41" s="62" t="s">
        <v>617</v>
      </c>
      <c r="P41" s="64">
        <f t="shared" si="4"/>
        <v>850.52</v>
      </c>
      <c r="Q41" s="64">
        <f t="shared" si="5"/>
        <v>850.52</v>
      </c>
      <c r="R41" s="64" t="b">
        <v>0</v>
      </c>
    </row>
    <row r="42" spans="1:18" ht="15" customHeight="1" x14ac:dyDescent="0.15">
      <c r="A42" s="62" t="s">
        <v>618</v>
      </c>
      <c r="B42" s="11">
        <v>264</v>
      </c>
      <c r="C42" s="11">
        <v>88</v>
      </c>
      <c r="D42" s="11">
        <v>59</v>
      </c>
      <c r="E42" s="11"/>
      <c r="F42" s="11">
        <v>738</v>
      </c>
      <c r="G42" s="11"/>
      <c r="H42" s="11"/>
      <c r="I42" s="11"/>
      <c r="J42" s="11">
        <v>25</v>
      </c>
      <c r="K42" s="11"/>
      <c r="L42" s="11"/>
      <c r="M42" s="11">
        <v>1</v>
      </c>
      <c r="N42" s="63" t="s">
        <v>619</v>
      </c>
      <c r="O42" s="62" t="s">
        <v>601</v>
      </c>
      <c r="P42" s="64">
        <f t="shared" si="4"/>
        <v>750.98</v>
      </c>
      <c r="Q42" s="64">
        <f t="shared" si="5"/>
        <v>750.98</v>
      </c>
      <c r="R42" s="64" t="b">
        <v>0</v>
      </c>
    </row>
    <row r="43" spans="1:18" ht="15" customHeight="1" x14ac:dyDescent="0.15">
      <c r="A43" s="62" t="s">
        <v>620</v>
      </c>
      <c r="B43" s="11">
        <v>258</v>
      </c>
      <c r="C43" s="11">
        <v>66</v>
      </c>
      <c r="D43" s="11">
        <v>66</v>
      </c>
      <c r="E43" s="11"/>
      <c r="F43" s="11">
        <v>701</v>
      </c>
      <c r="G43" s="11">
        <v>66</v>
      </c>
      <c r="H43" s="11">
        <v>44</v>
      </c>
      <c r="I43" s="11"/>
      <c r="J43" s="11"/>
      <c r="K43" s="11"/>
      <c r="L43" s="11"/>
      <c r="M43" s="11"/>
      <c r="N43" s="63"/>
      <c r="O43" s="62" t="s">
        <v>621</v>
      </c>
      <c r="P43" s="64">
        <f t="shared" si="4"/>
        <v>813.63999999999987</v>
      </c>
      <c r="Q43" s="64">
        <f t="shared" si="5"/>
        <v>813.63999999999987</v>
      </c>
      <c r="R43" s="64" t="b">
        <v>0</v>
      </c>
    </row>
    <row r="44" spans="1:18" ht="15" customHeight="1" x14ac:dyDescent="0.15">
      <c r="A44" s="62" t="s">
        <v>622</v>
      </c>
      <c r="B44" s="11">
        <v>245</v>
      </c>
      <c r="C44" s="11">
        <v>58</v>
      </c>
      <c r="D44" s="11">
        <v>58</v>
      </c>
      <c r="E44" s="11"/>
      <c r="F44" s="11">
        <v>621</v>
      </c>
      <c r="G44" s="11">
        <v>58</v>
      </c>
      <c r="H44" s="11">
        <v>39</v>
      </c>
      <c r="I44" s="11"/>
      <c r="J44" s="11"/>
      <c r="K44" s="11"/>
      <c r="L44" s="11"/>
      <c r="M44" s="11"/>
      <c r="N44" s="63"/>
      <c r="O44" s="62" t="s">
        <v>623</v>
      </c>
      <c r="P44" s="64">
        <f t="shared" si="4"/>
        <v>720.24</v>
      </c>
      <c r="Q44" s="64">
        <f t="shared" si="5"/>
        <v>720.24</v>
      </c>
      <c r="R44" s="64" t="b">
        <v>0</v>
      </c>
    </row>
    <row r="45" spans="1:18" ht="15" customHeight="1" x14ac:dyDescent="0.15">
      <c r="A45" s="62" t="s">
        <v>624</v>
      </c>
      <c r="B45" s="11">
        <v>245</v>
      </c>
      <c r="C45" s="11">
        <v>42</v>
      </c>
      <c r="D45" s="11">
        <v>45</v>
      </c>
      <c r="E45" s="11"/>
      <c r="F45" s="11">
        <v>621</v>
      </c>
      <c r="G45" s="11"/>
      <c r="H45" s="11">
        <v>50</v>
      </c>
      <c r="I45" s="11"/>
      <c r="J45" s="11">
        <v>25</v>
      </c>
      <c r="K45" s="11"/>
      <c r="L45" s="11"/>
      <c r="M45" s="11"/>
      <c r="N45" s="63"/>
      <c r="O45" s="62" t="s">
        <v>625</v>
      </c>
      <c r="P45" s="64">
        <f t="shared" si="4"/>
        <v>668.9</v>
      </c>
      <c r="Q45" s="64">
        <f t="shared" si="5"/>
        <v>668.9</v>
      </c>
      <c r="R45" s="64" t="b">
        <v>0</v>
      </c>
    </row>
    <row r="46" spans="1:18" ht="15" customHeight="1" x14ac:dyDescent="0.15">
      <c r="A46" s="62" t="s">
        <v>626</v>
      </c>
      <c r="B46" s="11">
        <v>245</v>
      </c>
      <c r="C46" s="11">
        <v>38</v>
      </c>
      <c r="D46" s="11">
        <v>58</v>
      </c>
      <c r="E46" s="11"/>
      <c r="F46" s="11">
        <v>621</v>
      </c>
      <c r="G46" s="11">
        <v>54</v>
      </c>
      <c r="H46" s="11">
        <v>36</v>
      </c>
      <c r="I46" s="11"/>
      <c r="J46" s="11"/>
      <c r="K46" s="11">
        <v>1</v>
      </c>
      <c r="L46" s="11"/>
      <c r="M46" s="11"/>
      <c r="N46" s="63"/>
      <c r="O46" s="62" t="s">
        <v>625</v>
      </c>
      <c r="P46" s="64">
        <f t="shared" si="4"/>
        <v>714.04</v>
      </c>
      <c r="Q46" s="64">
        <f t="shared" si="5"/>
        <v>714.04</v>
      </c>
      <c r="R46" s="64" t="b">
        <v>0</v>
      </c>
    </row>
    <row r="47" spans="1:18" ht="15" customHeight="1" x14ac:dyDescent="0.15">
      <c r="A47" s="62" t="s">
        <v>627</v>
      </c>
      <c r="B47" s="11">
        <v>277</v>
      </c>
      <c r="C47" s="11">
        <v>99</v>
      </c>
      <c r="D47" s="11">
        <v>66</v>
      </c>
      <c r="E47" s="11"/>
      <c r="F47" s="11">
        <v>836</v>
      </c>
      <c r="G47" s="11"/>
      <c r="H47" s="11">
        <v>58</v>
      </c>
      <c r="I47" s="11"/>
      <c r="J47" s="11"/>
      <c r="K47" s="11"/>
      <c r="L47" s="11"/>
      <c r="M47" s="11">
        <v>1</v>
      </c>
      <c r="N47" s="63" t="s">
        <v>616</v>
      </c>
      <c r="O47" s="62" t="s">
        <v>601</v>
      </c>
      <c r="P47" s="64">
        <f t="shared" si="4"/>
        <v>894.6</v>
      </c>
      <c r="Q47" s="64">
        <f t="shared" si="5"/>
        <v>894.6</v>
      </c>
      <c r="R47" s="64" t="b">
        <v>0</v>
      </c>
    </row>
    <row r="48" spans="1:18" ht="15" customHeight="1" x14ac:dyDescent="0.15">
      <c r="A48" s="62" t="s">
        <v>628</v>
      </c>
      <c r="B48" s="11">
        <v>258</v>
      </c>
      <c r="C48" s="11">
        <v>48</v>
      </c>
      <c r="D48" s="11">
        <v>65</v>
      </c>
      <c r="E48" s="11"/>
      <c r="F48" s="11">
        <v>692</v>
      </c>
      <c r="G48" s="11">
        <v>57</v>
      </c>
      <c r="H48" s="11"/>
      <c r="I48" s="11">
        <v>51</v>
      </c>
      <c r="J48" s="11"/>
      <c r="K48" s="11"/>
      <c r="L48" s="11"/>
      <c r="M48" s="11">
        <v>1</v>
      </c>
      <c r="N48" s="63" t="s">
        <v>616</v>
      </c>
      <c r="O48" s="62" t="s">
        <v>629</v>
      </c>
      <c r="P48" s="64">
        <f t="shared" si="4"/>
        <v>762.16</v>
      </c>
      <c r="Q48" s="64">
        <f t="shared" si="5"/>
        <v>858.04</v>
      </c>
      <c r="R48" s="64" t="b">
        <v>0</v>
      </c>
    </row>
    <row r="49" spans="1:18" ht="15" customHeight="1" x14ac:dyDescent="0.15">
      <c r="A49" s="62" t="s">
        <v>630</v>
      </c>
      <c r="B49" s="11">
        <v>245</v>
      </c>
      <c r="C49" s="11">
        <v>58</v>
      </c>
      <c r="D49" s="11">
        <v>40</v>
      </c>
      <c r="E49" s="11"/>
      <c r="F49" s="11">
        <v>621</v>
      </c>
      <c r="G49" s="11"/>
      <c r="H49" s="11">
        <v>46</v>
      </c>
      <c r="I49" s="11"/>
      <c r="J49" s="11">
        <v>29</v>
      </c>
      <c r="K49" s="11"/>
      <c r="L49" s="11"/>
      <c r="M49" s="11"/>
      <c r="N49" s="63"/>
      <c r="O49" s="62" t="s">
        <v>631</v>
      </c>
      <c r="P49" s="64">
        <f t="shared" si="4"/>
        <v>664.76</v>
      </c>
      <c r="Q49" s="64">
        <f t="shared" si="5"/>
        <v>664.76</v>
      </c>
      <c r="R49" s="64" t="b">
        <v>0</v>
      </c>
    </row>
    <row r="50" spans="1:18" ht="15" customHeight="1" x14ac:dyDescent="0.15">
      <c r="A50" s="62" t="s">
        <v>632</v>
      </c>
      <c r="B50" s="11">
        <v>245</v>
      </c>
      <c r="C50" s="11">
        <v>44</v>
      </c>
      <c r="D50" s="11">
        <v>49</v>
      </c>
      <c r="E50" s="11"/>
      <c r="F50" s="11">
        <v>621</v>
      </c>
      <c r="G50" s="11">
        <v>58</v>
      </c>
      <c r="H50" s="11">
        <v>37</v>
      </c>
      <c r="I50" s="11"/>
      <c r="J50" s="11"/>
      <c r="K50" s="11">
        <v>1</v>
      </c>
      <c r="L50" s="11"/>
      <c r="M50" s="11"/>
      <c r="N50" s="63" t="s">
        <v>633</v>
      </c>
      <c r="O50" s="62" t="s">
        <v>634</v>
      </c>
      <c r="P50" s="64">
        <f t="shared" si="4"/>
        <v>716.74</v>
      </c>
      <c r="Q50" s="64">
        <f t="shared" si="5"/>
        <v>716.74</v>
      </c>
      <c r="R50" s="64" t="b">
        <v>0</v>
      </c>
    </row>
    <row r="51" spans="1:18" ht="15" customHeight="1" x14ac:dyDescent="0.15">
      <c r="A51" s="62" t="s">
        <v>635</v>
      </c>
      <c r="B51" s="11">
        <v>245</v>
      </c>
      <c r="C51" s="11">
        <v>42</v>
      </c>
      <c r="D51" s="11">
        <v>58</v>
      </c>
      <c r="E51" s="11"/>
      <c r="F51" s="11">
        <v>621</v>
      </c>
      <c r="G51" s="11">
        <v>58</v>
      </c>
      <c r="H51" s="11"/>
      <c r="I51" s="11">
        <v>45</v>
      </c>
      <c r="J51" s="11"/>
      <c r="K51" s="11"/>
      <c r="L51" s="11"/>
      <c r="M51" s="11"/>
      <c r="N51" s="63"/>
      <c r="O51" s="62" t="s">
        <v>636</v>
      </c>
      <c r="P51" s="64">
        <f t="shared" si="4"/>
        <v>690.6</v>
      </c>
      <c r="Q51" s="64">
        <f t="shared" si="5"/>
        <v>775.2</v>
      </c>
      <c r="R51" s="64" t="b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30"/>
  <sheetViews>
    <sheetView workbookViewId="0">
      <selection activeCell="D20" sqref="D20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287</v>
      </c>
      <c r="B2" s="2">
        <v>277</v>
      </c>
      <c r="C2" s="2">
        <v>44</v>
      </c>
      <c r="D2" s="2">
        <v>44</v>
      </c>
      <c r="E2" s="2">
        <v>30</v>
      </c>
      <c r="F2" s="2">
        <v>58</v>
      </c>
      <c r="G2" s="2"/>
      <c r="H2" s="2">
        <v>38</v>
      </c>
      <c r="I2" s="2"/>
      <c r="J2" s="2"/>
      <c r="K2" s="2"/>
      <c r="L2" s="2">
        <v>1</v>
      </c>
      <c r="M2" s="2"/>
      <c r="N2" s="3" t="s">
        <v>38</v>
      </c>
      <c r="O2" s="1" t="s">
        <v>68</v>
      </c>
      <c r="P2" s="4">
        <f t="shared" ref="P2:P9" si="0">D2*0.22+E2*0.59+F2*1+G2*0.98+H2*0.76</f>
        <v>114.25999999999999</v>
      </c>
      <c r="Q2" s="4">
        <f t="shared" ref="Q2:Q9" si="1">P2+I2*1.88</f>
        <v>114.25999999999999</v>
      </c>
      <c r="R2" s="4"/>
      <c r="S2" s="4"/>
    </row>
    <row r="3" spans="1:19" ht="15" customHeight="1" x14ac:dyDescent="0.15">
      <c r="A3" s="1" t="s">
        <v>288</v>
      </c>
      <c r="B3" s="2">
        <v>277</v>
      </c>
      <c r="C3" s="2">
        <v>44</v>
      </c>
      <c r="D3" s="2">
        <v>44</v>
      </c>
      <c r="E3" s="2"/>
      <c r="F3" s="2">
        <v>58</v>
      </c>
      <c r="G3" s="2">
        <v>30</v>
      </c>
      <c r="H3" s="2">
        <v>38</v>
      </c>
      <c r="I3" s="2"/>
      <c r="J3" s="2"/>
      <c r="K3" s="2"/>
      <c r="L3" s="2">
        <v>1</v>
      </c>
      <c r="M3" s="2"/>
      <c r="N3" s="3" t="s">
        <v>38</v>
      </c>
      <c r="O3" s="1" t="s">
        <v>39</v>
      </c>
      <c r="P3" s="4">
        <f t="shared" si="0"/>
        <v>125.96000000000001</v>
      </c>
      <c r="Q3" s="4">
        <f t="shared" si="1"/>
        <v>125.96000000000001</v>
      </c>
      <c r="R3" s="4"/>
      <c r="S3" s="4"/>
    </row>
    <row r="4" spans="1:19" ht="15" customHeight="1" x14ac:dyDescent="0.15">
      <c r="A4" s="1" t="s">
        <v>289</v>
      </c>
      <c r="B4" s="2">
        <v>264</v>
      </c>
      <c r="C4" s="2">
        <v>48</v>
      </c>
      <c r="D4" s="2">
        <v>35</v>
      </c>
      <c r="E4" s="2">
        <v>37</v>
      </c>
      <c r="F4" s="2">
        <v>51</v>
      </c>
      <c r="G4" s="2"/>
      <c r="H4" s="2">
        <v>20</v>
      </c>
      <c r="I4" s="2"/>
      <c r="J4" s="2"/>
      <c r="K4" s="2"/>
      <c r="L4" s="2"/>
      <c r="M4" s="2">
        <v>1</v>
      </c>
      <c r="N4" s="3" t="s">
        <v>71</v>
      </c>
      <c r="O4" s="1" t="s">
        <v>72</v>
      </c>
      <c r="P4" s="4">
        <f t="shared" si="0"/>
        <v>95.73</v>
      </c>
      <c r="Q4" s="4">
        <f t="shared" si="1"/>
        <v>95.73</v>
      </c>
      <c r="R4" s="4"/>
      <c r="S4" s="4"/>
    </row>
    <row r="5" spans="1:19" ht="15" customHeight="1" x14ac:dyDescent="0.15">
      <c r="A5" s="1" t="s">
        <v>290</v>
      </c>
      <c r="B5" s="2">
        <v>264</v>
      </c>
      <c r="C5" s="2">
        <v>48</v>
      </c>
      <c r="D5" s="2">
        <v>35</v>
      </c>
      <c r="E5" s="2"/>
      <c r="F5" s="2">
        <v>51</v>
      </c>
      <c r="G5" s="2">
        <v>28</v>
      </c>
      <c r="H5" s="2"/>
      <c r="I5" s="2">
        <v>29</v>
      </c>
      <c r="J5" s="2"/>
      <c r="K5" s="2"/>
      <c r="L5" s="2">
        <v>1</v>
      </c>
      <c r="M5" s="2"/>
      <c r="N5" s="3" t="s">
        <v>50</v>
      </c>
      <c r="O5" s="1" t="s">
        <v>74</v>
      </c>
      <c r="P5" s="4">
        <f t="shared" si="0"/>
        <v>86.14</v>
      </c>
      <c r="Q5" s="4">
        <f t="shared" si="1"/>
        <v>140.66</v>
      </c>
      <c r="R5" s="4"/>
      <c r="S5" s="4"/>
    </row>
    <row r="6" spans="1:19" ht="15" customHeight="1" x14ac:dyDescent="0.15">
      <c r="A6" s="1" t="s">
        <v>67</v>
      </c>
      <c r="B6" s="2">
        <v>264</v>
      </c>
      <c r="C6" s="2">
        <v>39</v>
      </c>
      <c r="D6" s="2">
        <v>39</v>
      </c>
      <c r="E6" s="2">
        <v>34</v>
      </c>
      <c r="F6" s="2">
        <v>60</v>
      </c>
      <c r="G6" s="2"/>
      <c r="H6" s="2">
        <v>34</v>
      </c>
      <c r="I6" s="2"/>
      <c r="J6" s="2"/>
      <c r="K6" s="2"/>
      <c r="L6" s="2"/>
      <c r="M6" s="2"/>
      <c r="N6" s="3"/>
      <c r="O6" s="1" t="s">
        <v>75</v>
      </c>
      <c r="P6" s="4">
        <f t="shared" si="0"/>
        <v>114.48</v>
      </c>
      <c r="Q6" s="4">
        <f t="shared" si="1"/>
        <v>114.48</v>
      </c>
      <c r="R6" s="4"/>
      <c r="S6" s="4"/>
    </row>
    <row r="7" spans="1:19" ht="15" customHeight="1" x14ac:dyDescent="0.15">
      <c r="A7" s="1" t="s">
        <v>69</v>
      </c>
      <c r="B7" s="2">
        <v>264</v>
      </c>
      <c r="C7" s="2">
        <v>39</v>
      </c>
      <c r="D7" s="2">
        <v>39</v>
      </c>
      <c r="E7" s="2"/>
      <c r="F7" s="2">
        <v>63</v>
      </c>
      <c r="G7" s="2">
        <v>34</v>
      </c>
      <c r="H7" s="2">
        <v>34</v>
      </c>
      <c r="I7" s="2"/>
      <c r="J7" s="2"/>
      <c r="K7" s="2"/>
      <c r="L7" s="2"/>
      <c r="M7" s="2"/>
      <c r="N7" s="3"/>
      <c r="O7" s="1" t="s">
        <v>52</v>
      </c>
      <c r="P7" s="4">
        <f t="shared" si="0"/>
        <v>130.74</v>
      </c>
      <c r="Q7" s="4">
        <f t="shared" si="1"/>
        <v>130.74</v>
      </c>
      <c r="R7" s="4"/>
      <c r="S7" s="4"/>
    </row>
    <row r="8" spans="1:19" ht="15" customHeight="1" x14ac:dyDescent="0.15">
      <c r="A8" s="1" t="s">
        <v>70</v>
      </c>
      <c r="B8" s="2">
        <v>251</v>
      </c>
      <c r="C8" s="2">
        <v>43</v>
      </c>
      <c r="D8" s="2">
        <v>31</v>
      </c>
      <c r="E8" s="2">
        <v>33</v>
      </c>
      <c r="F8" s="2">
        <v>53</v>
      </c>
      <c r="G8" s="2"/>
      <c r="H8" s="2">
        <v>25</v>
      </c>
      <c r="I8" s="2"/>
      <c r="J8" s="2"/>
      <c r="K8" s="2"/>
      <c r="L8" s="2"/>
      <c r="M8" s="2"/>
      <c r="N8" s="3"/>
      <c r="O8" s="1" t="s">
        <v>76</v>
      </c>
      <c r="P8" s="4">
        <f t="shared" si="0"/>
        <v>98.289999999999992</v>
      </c>
      <c r="Q8" s="4">
        <f t="shared" si="1"/>
        <v>98.289999999999992</v>
      </c>
      <c r="R8" s="4"/>
      <c r="S8" s="4"/>
    </row>
    <row r="9" spans="1:19" ht="15" customHeight="1" x14ac:dyDescent="0.15">
      <c r="A9" s="1" t="s">
        <v>73</v>
      </c>
      <c r="B9" s="2">
        <v>251</v>
      </c>
      <c r="C9" s="2">
        <v>41</v>
      </c>
      <c r="D9" s="2">
        <v>31</v>
      </c>
      <c r="E9" s="2"/>
      <c r="F9" s="2">
        <v>53</v>
      </c>
      <c r="G9" s="2">
        <v>25</v>
      </c>
      <c r="H9" s="2"/>
      <c r="I9" s="2">
        <v>33</v>
      </c>
      <c r="J9" s="2"/>
      <c r="K9" s="2"/>
      <c r="L9" s="2"/>
      <c r="M9" s="2"/>
      <c r="N9" s="3"/>
      <c r="O9" s="1" t="s">
        <v>77</v>
      </c>
      <c r="P9" s="4">
        <f t="shared" si="0"/>
        <v>84.32</v>
      </c>
      <c r="Q9" s="4">
        <f t="shared" si="1"/>
        <v>146.35999999999999</v>
      </c>
      <c r="R9" s="4"/>
      <c r="S9" s="4"/>
    </row>
    <row r="10" spans="1:19" ht="15" customHeight="1" x14ac:dyDescent="0.15">
      <c r="A10" s="62" t="s">
        <v>574</v>
      </c>
      <c r="B10" s="11">
        <v>245</v>
      </c>
      <c r="C10" s="11">
        <v>32</v>
      </c>
      <c r="D10" s="11">
        <v>32</v>
      </c>
      <c r="E10" s="11">
        <v>28</v>
      </c>
      <c r="F10" s="11">
        <v>50</v>
      </c>
      <c r="G10" s="11"/>
      <c r="H10" s="11"/>
      <c r="I10" s="11">
        <v>28</v>
      </c>
      <c r="J10" s="11"/>
      <c r="K10" s="11"/>
      <c r="L10" s="11"/>
      <c r="M10" s="11"/>
      <c r="N10" s="63"/>
      <c r="O10" s="62" t="s">
        <v>575</v>
      </c>
      <c r="P10" s="64">
        <f t="shared" ref="P10:P19" si="2">D10*0.22+E10*0.59+F10*1+G10*0.98+H10*0.76</f>
        <v>73.56</v>
      </c>
      <c r="Q10" s="64">
        <f t="shared" ref="Q10:Q19" si="3">P10+I10*1.88</f>
        <v>126.2</v>
      </c>
      <c r="R10" s="4"/>
      <c r="S10" s="4"/>
    </row>
    <row r="11" spans="1:19" ht="15" customHeight="1" x14ac:dyDescent="0.15">
      <c r="A11" s="62" t="s">
        <v>637</v>
      </c>
      <c r="B11" s="11">
        <v>264</v>
      </c>
      <c r="C11" s="11">
        <v>58</v>
      </c>
      <c r="D11" s="11">
        <v>26</v>
      </c>
      <c r="E11" s="11">
        <v>34</v>
      </c>
      <c r="F11" s="11">
        <v>60</v>
      </c>
      <c r="G11" s="11"/>
      <c r="H11" s="11"/>
      <c r="I11" s="11"/>
      <c r="J11" s="11"/>
      <c r="K11" s="11"/>
      <c r="L11" s="11"/>
      <c r="M11" s="11"/>
      <c r="N11" s="63"/>
      <c r="O11" s="62" t="s">
        <v>601</v>
      </c>
      <c r="P11" s="64">
        <f t="shared" si="2"/>
        <v>85.78</v>
      </c>
      <c r="Q11" s="64">
        <f t="shared" si="3"/>
        <v>85.78</v>
      </c>
      <c r="R11" s="4"/>
      <c r="S11" s="4"/>
    </row>
    <row r="12" spans="1:19" ht="15" customHeight="1" x14ac:dyDescent="0.15">
      <c r="A12" s="62" t="s">
        <v>638</v>
      </c>
      <c r="B12" s="11">
        <v>264</v>
      </c>
      <c r="C12" s="11">
        <v>58</v>
      </c>
      <c r="D12" s="11">
        <v>26</v>
      </c>
      <c r="E12" s="11"/>
      <c r="F12" s="11">
        <v>60</v>
      </c>
      <c r="G12" s="11"/>
      <c r="H12" s="11"/>
      <c r="I12" s="11"/>
      <c r="J12" s="11"/>
      <c r="K12" s="11"/>
      <c r="L12" s="11"/>
      <c r="M12" s="11"/>
      <c r="N12" s="63"/>
      <c r="O12" s="62" t="s">
        <v>601</v>
      </c>
      <c r="P12" s="64">
        <f t="shared" si="2"/>
        <v>65.72</v>
      </c>
      <c r="Q12" s="64">
        <f t="shared" si="3"/>
        <v>65.72</v>
      </c>
      <c r="R12" s="4"/>
      <c r="S12" s="4"/>
    </row>
    <row r="13" spans="1:19" ht="15" customHeight="1" x14ac:dyDescent="0.15">
      <c r="A13" s="62" t="s">
        <v>639</v>
      </c>
      <c r="B13" s="11">
        <v>264</v>
      </c>
      <c r="C13" s="11">
        <v>58</v>
      </c>
      <c r="D13" s="11">
        <v>26</v>
      </c>
      <c r="E13" s="11"/>
      <c r="F13" s="11">
        <v>60</v>
      </c>
      <c r="G13" s="11">
        <v>34</v>
      </c>
      <c r="H13" s="11"/>
      <c r="I13" s="11"/>
      <c r="J13" s="11"/>
      <c r="K13" s="11"/>
      <c r="L13" s="11"/>
      <c r="M13" s="11"/>
      <c r="N13" s="63"/>
      <c r="O13" s="62" t="s">
        <v>601</v>
      </c>
      <c r="P13" s="64">
        <f t="shared" si="2"/>
        <v>99.039999999999992</v>
      </c>
      <c r="Q13" s="64">
        <f t="shared" si="3"/>
        <v>99.039999999999992</v>
      </c>
      <c r="R13" s="4"/>
      <c r="S13" s="4"/>
    </row>
    <row r="14" spans="1:19" ht="15" customHeight="1" x14ac:dyDescent="0.15">
      <c r="A14" s="62" t="s">
        <v>640</v>
      </c>
      <c r="B14" s="11">
        <v>264</v>
      </c>
      <c r="C14" s="11">
        <v>58</v>
      </c>
      <c r="D14" s="11">
        <v>26</v>
      </c>
      <c r="E14" s="11"/>
      <c r="F14" s="11">
        <v>60</v>
      </c>
      <c r="G14" s="11"/>
      <c r="H14" s="11">
        <v>34</v>
      </c>
      <c r="I14" s="11"/>
      <c r="J14" s="11"/>
      <c r="K14" s="11"/>
      <c r="L14" s="11"/>
      <c r="M14" s="11"/>
      <c r="N14" s="63"/>
      <c r="O14" s="62" t="s">
        <v>601</v>
      </c>
      <c r="P14" s="64">
        <f t="shared" si="2"/>
        <v>91.56</v>
      </c>
      <c r="Q14" s="64">
        <f t="shared" si="3"/>
        <v>91.56</v>
      </c>
      <c r="R14" s="4"/>
      <c r="S14" s="4"/>
    </row>
    <row r="15" spans="1:19" ht="15" customHeight="1" x14ac:dyDescent="0.15">
      <c r="A15" s="62" t="s">
        <v>644</v>
      </c>
      <c r="B15" s="11">
        <v>245</v>
      </c>
      <c r="C15" s="11">
        <v>40</v>
      </c>
      <c r="D15" s="11">
        <v>29</v>
      </c>
      <c r="E15" s="11"/>
      <c r="F15" s="11">
        <v>50</v>
      </c>
      <c r="G15" s="11">
        <v>24</v>
      </c>
      <c r="H15" s="11">
        <v>31</v>
      </c>
      <c r="I15" s="11"/>
      <c r="J15" s="11"/>
      <c r="K15" s="11"/>
      <c r="L15" s="11"/>
      <c r="M15" s="11"/>
      <c r="N15" s="63"/>
      <c r="O15" s="62" t="s">
        <v>641</v>
      </c>
      <c r="P15" s="64">
        <f t="shared" si="2"/>
        <v>103.46000000000001</v>
      </c>
      <c r="Q15" s="64">
        <f t="shared" si="3"/>
        <v>103.46000000000001</v>
      </c>
      <c r="R15" s="4"/>
      <c r="S15" s="4"/>
    </row>
    <row r="16" spans="1:19" ht="15" customHeight="1" x14ac:dyDescent="0.15">
      <c r="A16" s="62" t="s">
        <v>642</v>
      </c>
      <c r="B16" s="11">
        <v>232</v>
      </c>
      <c r="C16" s="11">
        <v>33</v>
      </c>
      <c r="D16" s="11">
        <v>27</v>
      </c>
      <c r="E16" s="11"/>
      <c r="F16" s="11">
        <v>44</v>
      </c>
      <c r="G16" s="11"/>
      <c r="H16" s="11">
        <v>22</v>
      </c>
      <c r="I16" s="11">
        <v>27</v>
      </c>
      <c r="J16" s="11"/>
      <c r="K16" s="11"/>
      <c r="L16" s="11"/>
      <c r="M16" s="11"/>
      <c r="N16" s="63"/>
      <c r="O16" s="62" t="s">
        <v>643</v>
      </c>
      <c r="P16" s="64">
        <f t="shared" si="2"/>
        <v>66.66</v>
      </c>
      <c r="Q16" s="64">
        <f t="shared" si="3"/>
        <v>117.41999999999999</v>
      </c>
      <c r="R16" s="4"/>
      <c r="S16" s="4"/>
    </row>
    <row r="17" spans="1:19" ht="15" customHeight="1" x14ac:dyDescent="0.15">
      <c r="A17" s="62" t="s">
        <v>646</v>
      </c>
      <c r="B17" s="11">
        <v>232</v>
      </c>
      <c r="C17" s="11">
        <v>40</v>
      </c>
      <c r="D17" s="11">
        <v>29</v>
      </c>
      <c r="E17" s="11"/>
      <c r="F17" s="11">
        <v>44</v>
      </c>
      <c r="G17" s="11">
        <v>21</v>
      </c>
      <c r="H17" s="11">
        <v>28</v>
      </c>
      <c r="I17" s="11"/>
      <c r="J17" s="11"/>
      <c r="K17" s="11"/>
      <c r="L17" s="11"/>
      <c r="M17" s="11"/>
      <c r="N17" s="63"/>
      <c r="O17" s="62" t="s">
        <v>645</v>
      </c>
      <c r="P17" s="64">
        <f t="shared" si="2"/>
        <v>92.240000000000009</v>
      </c>
      <c r="Q17" s="64">
        <f t="shared" si="3"/>
        <v>92.240000000000009</v>
      </c>
      <c r="R17" s="4"/>
      <c r="S17" s="4"/>
    </row>
    <row r="18" spans="1:19" ht="15" customHeight="1" x14ac:dyDescent="0.15">
      <c r="A18" s="62" t="s">
        <v>647</v>
      </c>
      <c r="B18" s="11">
        <v>232</v>
      </c>
      <c r="C18" s="11">
        <v>26</v>
      </c>
      <c r="D18" s="11">
        <v>19</v>
      </c>
      <c r="E18" s="11">
        <v>22</v>
      </c>
      <c r="F18" s="11">
        <v>45</v>
      </c>
      <c r="G18" s="11"/>
      <c r="H18" s="11"/>
      <c r="I18" s="11">
        <v>29</v>
      </c>
      <c r="J18" s="11"/>
      <c r="K18" s="11"/>
      <c r="L18" s="11">
        <v>1</v>
      </c>
      <c r="M18" s="11"/>
      <c r="N18" s="63" t="s">
        <v>650</v>
      </c>
      <c r="O18" s="62" t="s">
        <v>649</v>
      </c>
      <c r="P18" s="64">
        <f t="shared" si="2"/>
        <v>62.16</v>
      </c>
      <c r="Q18" s="64">
        <f t="shared" si="3"/>
        <v>116.67999999999999</v>
      </c>
    </row>
    <row r="19" spans="1:19" ht="15" customHeight="1" x14ac:dyDescent="0.15">
      <c r="A19" s="62" t="s">
        <v>648</v>
      </c>
      <c r="B19" s="11">
        <v>232</v>
      </c>
      <c r="C19" s="11">
        <v>39</v>
      </c>
      <c r="D19" s="11">
        <v>26</v>
      </c>
      <c r="E19" s="11">
        <v>25</v>
      </c>
      <c r="F19" s="11">
        <v>44</v>
      </c>
      <c r="G19" s="11"/>
      <c r="H19" s="11">
        <v>24</v>
      </c>
      <c r="I19" s="11"/>
      <c r="J19" s="11"/>
      <c r="K19" s="11"/>
      <c r="L19" s="11"/>
      <c r="M19" s="11"/>
      <c r="N19" s="63"/>
      <c r="O19" s="62" t="s">
        <v>649</v>
      </c>
      <c r="P19" s="64">
        <f t="shared" si="2"/>
        <v>82.710000000000008</v>
      </c>
      <c r="Q19" s="64">
        <f t="shared" si="3"/>
        <v>82.710000000000008</v>
      </c>
    </row>
    <row r="20" spans="1:19" ht="15" customHeight="1" x14ac:dyDescent="0.15">
      <c r="P20" s="4"/>
      <c r="Q20" s="4"/>
    </row>
    <row r="21" spans="1:19" ht="15" customHeight="1" x14ac:dyDescent="0.15">
      <c r="P21" s="4"/>
      <c r="Q21" s="4"/>
    </row>
    <row r="22" spans="1:19" ht="15" customHeight="1" x14ac:dyDescent="0.15">
      <c r="P22" s="4"/>
      <c r="Q22" s="4"/>
    </row>
    <row r="23" spans="1:19" ht="15" customHeight="1" x14ac:dyDescent="0.15">
      <c r="P23" s="4"/>
      <c r="Q23" s="4"/>
    </row>
    <row r="24" spans="1:19" ht="15" customHeight="1" x14ac:dyDescent="0.15">
      <c r="P24" s="4"/>
      <c r="Q24" s="4"/>
    </row>
    <row r="25" spans="1:19" ht="15" customHeight="1" x14ac:dyDescent="0.15">
      <c r="P25" s="4"/>
      <c r="Q25" s="4"/>
    </row>
    <row r="26" spans="1:19" ht="15" customHeight="1" x14ac:dyDescent="0.15">
      <c r="P26" s="4"/>
      <c r="Q26" s="4"/>
    </row>
    <row r="27" spans="1:19" ht="15" customHeight="1" x14ac:dyDescent="0.15">
      <c r="P27" s="4"/>
      <c r="Q27" s="4"/>
    </row>
    <row r="28" spans="1:19" ht="15" customHeight="1" x14ac:dyDescent="0.15">
      <c r="P28" s="4"/>
      <c r="Q28" s="4"/>
    </row>
    <row r="29" spans="1:19" ht="15" customHeight="1" x14ac:dyDescent="0.15">
      <c r="P29" s="4"/>
      <c r="Q29" s="4"/>
    </row>
    <row r="30" spans="1:19" ht="15" customHeight="1" x14ac:dyDescent="0.15">
      <c r="P30" s="4"/>
      <c r="Q30" s="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45"/>
  <sheetViews>
    <sheetView workbookViewId="0">
      <selection activeCell="P21" sqref="P21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1" width="6.375" style="6" customWidth="1"/>
    <col min="12" max="13" width="4.625" style="6" customWidth="1"/>
    <col min="14" max="14" width="10.875" style="6" customWidth="1"/>
    <col min="15" max="15" width="10.25" style="6" customWidth="1"/>
    <col min="16" max="16" width="24.75" style="6" customWidth="1"/>
    <col min="17" max="17" width="10.25" style="6" customWidth="1"/>
    <col min="18" max="18" width="9.75" style="6" customWidth="1"/>
    <col min="19" max="256" width="9" style="6"/>
    <col min="257" max="257" width="24.625" style="6" customWidth="1"/>
    <col min="258" max="258" width="5.125" style="6" bestFit="1" customWidth="1"/>
    <col min="259" max="260" width="5.125" style="6" customWidth="1"/>
    <col min="261" max="261" width="5.25" style="6" customWidth="1"/>
    <col min="262" max="262" width="9.125" style="6" customWidth="1"/>
    <col min="263" max="265" width="5.125" style="6" customWidth="1"/>
    <col min="266" max="266" width="5" style="6" customWidth="1"/>
    <col min="267" max="269" width="3.625" style="6" bestFit="1" customWidth="1"/>
    <col min="270" max="270" width="5.125" style="6" customWidth="1"/>
    <col min="271" max="271" width="9.125" style="6" customWidth="1"/>
    <col min="272" max="272" width="24.75" style="6" customWidth="1"/>
    <col min="273" max="274" width="9.125" style="6" customWidth="1"/>
    <col min="275" max="512" width="9" style="6"/>
    <col min="513" max="513" width="24.625" style="6" customWidth="1"/>
    <col min="514" max="514" width="5.125" style="6" bestFit="1" customWidth="1"/>
    <col min="515" max="516" width="5.125" style="6" customWidth="1"/>
    <col min="517" max="517" width="5.25" style="6" customWidth="1"/>
    <col min="518" max="518" width="9.125" style="6" customWidth="1"/>
    <col min="519" max="521" width="5.125" style="6" customWidth="1"/>
    <col min="522" max="522" width="5" style="6" customWidth="1"/>
    <col min="523" max="525" width="3.625" style="6" bestFit="1" customWidth="1"/>
    <col min="526" max="526" width="5.125" style="6" customWidth="1"/>
    <col min="527" max="527" width="9.125" style="6" customWidth="1"/>
    <col min="528" max="528" width="24.75" style="6" customWidth="1"/>
    <col min="529" max="530" width="9.125" style="6" customWidth="1"/>
    <col min="531" max="768" width="9" style="6"/>
    <col min="769" max="769" width="24.625" style="6" customWidth="1"/>
    <col min="770" max="770" width="5.125" style="6" bestFit="1" customWidth="1"/>
    <col min="771" max="772" width="5.125" style="6" customWidth="1"/>
    <col min="773" max="773" width="5.25" style="6" customWidth="1"/>
    <col min="774" max="774" width="9.125" style="6" customWidth="1"/>
    <col min="775" max="777" width="5.125" style="6" customWidth="1"/>
    <col min="778" max="778" width="5" style="6" customWidth="1"/>
    <col min="779" max="781" width="3.625" style="6" bestFit="1" customWidth="1"/>
    <col min="782" max="782" width="5.125" style="6" customWidth="1"/>
    <col min="783" max="783" width="9.125" style="6" customWidth="1"/>
    <col min="784" max="784" width="24.75" style="6" customWidth="1"/>
    <col min="785" max="786" width="9.125" style="6" customWidth="1"/>
    <col min="787" max="1024" width="9" style="6"/>
    <col min="1025" max="1025" width="24.625" style="6" customWidth="1"/>
    <col min="1026" max="1026" width="5.125" style="6" bestFit="1" customWidth="1"/>
    <col min="1027" max="1028" width="5.125" style="6" customWidth="1"/>
    <col min="1029" max="1029" width="5.25" style="6" customWidth="1"/>
    <col min="1030" max="1030" width="9.125" style="6" customWidth="1"/>
    <col min="1031" max="1033" width="5.125" style="6" customWidth="1"/>
    <col min="1034" max="1034" width="5" style="6" customWidth="1"/>
    <col min="1035" max="1037" width="3.625" style="6" bestFit="1" customWidth="1"/>
    <col min="1038" max="1038" width="5.125" style="6" customWidth="1"/>
    <col min="1039" max="1039" width="9.125" style="6" customWidth="1"/>
    <col min="1040" max="1040" width="24.75" style="6" customWidth="1"/>
    <col min="1041" max="1042" width="9.125" style="6" customWidth="1"/>
    <col min="1043" max="1280" width="9" style="6"/>
    <col min="1281" max="1281" width="24.625" style="6" customWidth="1"/>
    <col min="1282" max="1282" width="5.125" style="6" bestFit="1" customWidth="1"/>
    <col min="1283" max="1284" width="5.125" style="6" customWidth="1"/>
    <col min="1285" max="1285" width="5.25" style="6" customWidth="1"/>
    <col min="1286" max="1286" width="9.125" style="6" customWidth="1"/>
    <col min="1287" max="1289" width="5.125" style="6" customWidth="1"/>
    <col min="1290" max="1290" width="5" style="6" customWidth="1"/>
    <col min="1291" max="1293" width="3.625" style="6" bestFit="1" customWidth="1"/>
    <col min="1294" max="1294" width="5.125" style="6" customWidth="1"/>
    <col min="1295" max="1295" width="9.125" style="6" customWidth="1"/>
    <col min="1296" max="1296" width="24.75" style="6" customWidth="1"/>
    <col min="1297" max="1298" width="9.125" style="6" customWidth="1"/>
    <col min="1299" max="1536" width="9" style="6"/>
    <col min="1537" max="1537" width="24.625" style="6" customWidth="1"/>
    <col min="1538" max="1538" width="5.125" style="6" bestFit="1" customWidth="1"/>
    <col min="1539" max="1540" width="5.125" style="6" customWidth="1"/>
    <col min="1541" max="1541" width="5.25" style="6" customWidth="1"/>
    <col min="1542" max="1542" width="9.125" style="6" customWidth="1"/>
    <col min="1543" max="1545" width="5.125" style="6" customWidth="1"/>
    <col min="1546" max="1546" width="5" style="6" customWidth="1"/>
    <col min="1547" max="1549" width="3.625" style="6" bestFit="1" customWidth="1"/>
    <col min="1550" max="1550" width="5.125" style="6" customWidth="1"/>
    <col min="1551" max="1551" width="9.125" style="6" customWidth="1"/>
    <col min="1552" max="1552" width="24.75" style="6" customWidth="1"/>
    <col min="1553" max="1554" width="9.125" style="6" customWidth="1"/>
    <col min="1555" max="1792" width="9" style="6"/>
    <col min="1793" max="1793" width="24.625" style="6" customWidth="1"/>
    <col min="1794" max="1794" width="5.125" style="6" bestFit="1" customWidth="1"/>
    <col min="1795" max="1796" width="5.125" style="6" customWidth="1"/>
    <col min="1797" max="1797" width="5.25" style="6" customWidth="1"/>
    <col min="1798" max="1798" width="9.125" style="6" customWidth="1"/>
    <col min="1799" max="1801" width="5.125" style="6" customWidth="1"/>
    <col min="1802" max="1802" width="5" style="6" customWidth="1"/>
    <col min="1803" max="1805" width="3.625" style="6" bestFit="1" customWidth="1"/>
    <col min="1806" max="1806" width="5.125" style="6" customWidth="1"/>
    <col min="1807" max="1807" width="9.125" style="6" customWidth="1"/>
    <col min="1808" max="1808" width="24.75" style="6" customWidth="1"/>
    <col min="1809" max="1810" width="9.125" style="6" customWidth="1"/>
    <col min="1811" max="2048" width="9" style="6"/>
    <col min="2049" max="2049" width="24.625" style="6" customWidth="1"/>
    <col min="2050" max="2050" width="5.125" style="6" bestFit="1" customWidth="1"/>
    <col min="2051" max="2052" width="5.125" style="6" customWidth="1"/>
    <col min="2053" max="2053" width="5.25" style="6" customWidth="1"/>
    <col min="2054" max="2054" width="9.125" style="6" customWidth="1"/>
    <col min="2055" max="2057" width="5.125" style="6" customWidth="1"/>
    <col min="2058" max="2058" width="5" style="6" customWidth="1"/>
    <col min="2059" max="2061" width="3.625" style="6" bestFit="1" customWidth="1"/>
    <col min="2062" max="2062" width="5.125" style="6" customWidth="1"/>
    <col min="2063" max="2063" width="9.125" style="6" customWidth="1"/>
    <col min="2064" max="2064" width="24.75" style="6" customWidth="1"/>
    <col min="2065" max="2066" width="9.125" style="6" customWidth="1"/>
    <col min="2067" max="2304" width="9" style="6"/>
    <col min="2305" max="2305" width="24.625" style="6" customWidth="1"/>
    <col min="2306" max="2306" width="5.125" style="6" bestFit="1" customWidth="1"/>
    <col min="2307" max="2308" width="5.125" style="6" customWidth="1"/>
    <col min="2309" max="2309" width="5.25" style="6" customWidth="1"/>
    <col min="2310" max="2310" width="9.125" style="6" customWidth="1"/>
    <col min="2311" max="2313" width="5.125" style="6" customWidth="1"/>
    <col min="2314" max="2314" width="5" style="6" customWidth="1"/>
    <col min="2315" max="2317" width="3.625" style="6" bestFit="1" customWidth="1"/>
    <col min="2318" max="2318" width="5.125" style="6" customWidth="1"/>
    <col min="2319" max="2319" width="9.125" style="6" customWidth="1"/>
    <col min="2320" max="2320" width="24.75" style="6" customWidth="1"/>
    <col min="2321" max="2322" width="9.125" style="6" customWidth="1"/>
    <col min="2323" max="2560" width="9" style="6"/>
    <col min="2561" max="2561" width="24.625" style="6" customWidth="1"/>
    <col min="2562" max="2562" width="5.125" style="6" bestFit="1" customWidth="1"/>
    <col min="2563" max="2564" width="5.125" style="6" customWidth="1"/>
    <col min="2565" max="2565" width="5.25" style="6" customWidth="1"/>
    <col min="2566" max="2566" width="9.125" style="6" customWidth="1"/>
    <col min="2567" max="2569" width="5.125" style="6" customWidth="1"/>
    <col min="2570" max="2570" width="5" style="6" customWidth="1"/>
    <col min="2571" max="2573" width="3.625" style="6" bestFit="1" customWidth="1"/>
    <col min="2574" max="2574" width="5.125" style="6" customWidth="1"/>
    <col min="2575" max="2575" width="9.125" style="6" customWidth="1"/>
    <col min="2576" max="2576" width="24.75" style="6" customWidth="1"/>
    <col min="2577" max="2578" width="9.125" style="6" customWidth="1"/>
    <col min="2579" max="2816" width="9" style="6"/>
    <col min="2817" max="2817" width="24.625" style="6" customWidth="1"/>
    <col min="2818" max="2818" width="5.125" style="6" bestFit="1" customWidth="1"/>
    <col min="2819" max="2820" width="5.125" style="6" customWidth="1"/>
    <col min="2821" max="2821" width="5.25" style="6" customWidth="1"/>
    <col min="2822" max="2822" width="9.125" style="6" customWidth="1"/>
    <col min="2823" max="2825" width="5.125" style="6" customWidth="1"/>
    <col min="2826" max="2826" width="5" style="6" customWidth="1"/>
    <col min="2827" max="2829" width="3.625" style="6" bestFit="1" customWidth="1"/>
    <col min="2830" max="2830" width="5.125" style="6" customWidth="1"/>
    <col min="2831" max="2831" width="9.125" style="6" customWidth="1"/>
    <col min="2832" max="2832" width="24.75" style="6" customWidth="1"/>
    <col min="2833" max="2834" width="9.125" style="6" customWidth="1"/>
    <col min="2835" max="3072" width="9" style="6"/>
    <col min="3073" max="3073" width="24.625" style="6" customWidth="1"/>
    <col min="3074" max="3074" width="5.125" style="6" bestFit="1" customWidth="1"/>
    <col min="3075" max="3076" width="5.125" style="6" customWidth="1"/>
    <col min="3077" max="3077" width="5.25" style="6" customWidth="1"/>
    <col min="3078" max="3078" width="9.125" style="6" customWidth="1"/>
    <col min="3079" max="3081" width="5.125" style="6" customWidth="1"/>
    <col min="3082" max="3082" width="5" style="6" customWidth="1"/>
    <col min="3083" max="3085" width="3.625" style="6" bestFit="1" customWidth="1"/>
    <col min="3086" max="3086" width="5.125" style="6" customWidth="1"/>
    <col min="3087" max="3087" width="9.125" style="6" customWidth="1"/>
    <col min="3088" max="3088" width="24.75" style="6" customWidth="1"/>
    <col min="3089" max="3090" width="9.125" style="6" customWidth="1"/>
    <col min="3091" max="3328" width="9" style="6"/>
    <col min="3329" max="3329" width="24.625" style="6" customWidth="1"/>
    <col min="3330" max="3330" width="5.125" style="6" bestFit="1" customWidth="1"/>
    <col min="3331" max="3332" width="5.125" style="6" customWidth="1"/>
    <col min="3333" max="3333" width="5.25" style="6" customWidth="1"/>
    <col min="3334" max="3334" width="9.125" style="6" customWidth="1"/>
    <col min="3335" max="3337" width="5.125" style="6" customWidth="1"/>
    <col min="3338" max="3338" width="5" style="6" customWidth="1"/>
    <col min="3339" max="3341" width="3.625" style="6" bestFit="1" customWidth="1"/>
    <col min="3342" max="3342" width="5.125" style="6" customWidth="1"/>
    <col min="3343" max="3343" width="9.125" style="6" customWidth="1"/>
    <col min="3344" max="3344" width="24.75" style="6" customWidth="1"/>
    <col min="3345" max="3346" width="9.125" style="6" customWidth="1"/>
    <col min="3347" max="3584" width="9" style="6"/>
    <col min="3585" max="3585" width="24.625" style="6" customWidth="1"/>
    <col min="3586" max="3586" width="5.125" style="6" bestFit="1" customWidth="1"/>
    <col min="3587" max="3588" width="5.125" style="6" customWidth="1"/>
    <col min="3589" max="3589" width="5.25" style="6" customWidth="1"/>
    <col min="3590" max="3590" width="9.125" style="6" customWidth="1"/>
    <col min="3591" max="3593" width="5.125" style="6" customWidth="1"/>
    <col min="3594" max="3594" width="5" style="6" customWidth="1"/>
    <col min="3595" max="3597" width="3.625" style="6" bestFit="1" customWidth="1"/>
    <col min="3598" max="3598" width="5.125" style="6" customWidth="1"/>
    <col min="3599" max="3599" width="9.125" style="6" customWidth="1"/>
    <col min="3600" max="3600" width="24.75" style="6" customWidth="1"/>
    <col min="3601" max="3602" width="9.125" style="6" customWidth="1"/>
    <col min="3603" max="3840" width="9" style="6"/>
    <col min="3841" max="3841" width="24.625" style="6" customWidth="1"/>
    <col min="3842" max="3842" width="5.125" style="6" bestFit="1" customWidth="1"/>
    <col min="3843" max="3844" width="5.125" style="6" customWidth="1"/>
    <col min="3845" max="3845" width="5.25" style="6" customWidth="1"/>
    <col min="3846" max="3846" width="9.125" style="6" customWidth="1"/>
    <col min="3847" max="3849" width="5.125" style="6" customWidth="1"/>
    <col min="3850" max="3850" width="5" style="6" customWidth="1"/>
    <col min="3851" max="3853" width="3.625" style="6" bestFit="1" customWidth="1"/>
    <col min="3854" max="3854" width="5.125" style="6" customWidth="1"/>
    <col min="3855" max="3855" width="9.125" style="6" customWidth="1"/>
    <col min="3856" max="3856" width="24.75" style="6" customWidth="1"/>
    <col min="3857" max="3858" width="9.125" style="6" customWidth="1"/>
    <col min="3859" max="4096" width="9" style="6"/>
    <col min="4097" max="4097" width="24.625" style="6" customWidth="1"/>
    <col min="4098" max="4098" width="5.125" style="6" bestFit="1" customWidth="1"/>
    <col min="4099" max="4100" width="5.125" style="6" customWidth="1"/>
    <col min="4101" max="4101" width="5.25" style="6" customWidth="1"/>
    <col min="4102" max="4102" width="9.125" style="6" customWidth="1"/>
    <col min="4103" max="4105" width="5.125" style="6" customWidth="1"/>
    <col min="4106" max="4106" width="5" style="6" customWidth="1"/>
    <col min="4107" max="4109" width="3.625" style="6" bestFit="1" customWidth="1"/>
    <col min="4110" max="4110" width="5.125" style="6" customWidth="1"/>
    <col min="4111" max="4111" width="9.125" style="6" customWidth="1"/>
    <col min="4112" max="4112" width="24.75" style="6" customWidth="1"/>
    <col min="4113" max="4114" width="9.125" style="6" customWidth="1"/>
    <col min="4115" max="4352" width="9" style="6"/>
    <col min="4353" max="4353" width="24.625" style="6" customWidth="1"/>
    <col min="4354" max="4354" width="5.125" style="6" bestFit="1" customWidth="1"/>
    <col min="4355" max="4356" width="5.125" style="6" customWidth="1"/>
    <col min="4357" max="4357" width="5.25" style="6" customWidth="1"/>
    <col min="4358" max="4358" width="9.125" style="6" customWidth="1"/>
    <col min="4359" max="4361" width="5.125" style="6" customWidth="1"/>
    <col min="4362" max="4362" width="5" style="6" customWidth="1"/>
    <col min="4363" max="4365" width="3.625" style="6" bestFit="1" customWidth="1"/>
    <col min="4366" max="4366" width="5.125" style="6" customWidth="1"/>
    <col min="4367" max="4367" width="9.125" style="6" customWidth="1"/>
    <col min="4368" max="4368" width="24.75" style="6" customWidth="1"/>
    <col min="4369" max="4370" width="9.125" style="6" customWidth="1"/>
    <col min="4371" max="4608" width="9" style="6"/>
    <col min="4609" max="4609" width="24.625" style="6" customWidth="1"/>
    <col min="4610" max="4610" width="5.125" style="6" bestFit="1" customWidth="1"/>
    <col min="4611" max="4612" width="5.125" style="6" customWidth="1"/>
    <col min="4613" max="4613" width="5.25" style="6" customWidth="1"/>
    <col min="4614" max="4614" width="9.125" style="6" customWidth="1"/>
    <col min="4615" max="4617" width="5.125" style="6" customWidth="1"/>
    <col min="4618" max="4618" width="5" style="6" customWidth="1"/>
    <col min="4619" max="4621" width="3.625" style="6" bestFit="1" customWidth="1"/>
    <col min="4622" max="4622" width="5.125" style="6" customWidth="1"/>
    <col min="4623" max="4623" width="9.125" style="6" customWidth="1"/>
    <col min="4624" max="4624" width="24.75" style="6" customWidth="1"/>
    <col min="4625" max="4626" width="9.125" style="6" customWidth="1"/>
    <col min="4627" max="4864" width="9" style="6"/>
    <col min="4865" max="4865" width="24.625" style="6" customWidth="1"/>
    <col min="4866" max="4866" width="5.125" style="6" bestFit="1" customWidth="1"/>
    <col min="4867" max="4868" width="5.125" style="6" customWidth="1"/>
    <col min="4869" max="4869" width="5.25" style="6" customWidth="1"/>
    <col min="4870" max="4870" width="9.125" style="6" customWidth="1"/>
    <col min="4871" max="4873" width="5.125" style="6" customWidth="1"/>
    <col min="4874" max="4874" width="5" style="6" customWidth="1"/>
    <col min="4875" max="4877" width="3.625" style="6" bestFit="1" customWidth="1"/>
    <col min="4878" max="4878" width="5.125" style="6" customWidth="1"/>
    <col min="4879" max="4879" width="9.125" style="6" customWidth="1"/>
    <col min="4880" max="4880" width="24.75" style="6" customWidth="1"/>
    <col min="4881" max="4882" width="9.125" style="6" customWidth="1"/>
    <col min="4883" max="5120" width="9" style="6"/>
    <col min="5121" max="5121" width="24.625" style="6" customWidth="1"/>
    <col min="5122" max="5122" width="5.125" style="6" bestFit="1" customWidth="1"/>
    <col min="5123" max="5124" width="5.125" style="6" customWidth="1"/>
    <col min="5125" max="5125" width="5.25" style="6" customWidth="1"/>
    <col min="5126" max="5126" width="9.125" style="6" customWidth="1"/>
    <col min="5127" max="5129" width="5.125" style="6" customWidth="1"/>
    <col min="5130" max="5130" width="5" style="6" customWidth="1"/>
    <col min="5131" max="5133" width="3.625" style="6" bestFit="1" customWidth="1"/>
    <col min="5134" max="5134" width="5.125" style="6" customWidth="1"/>
    <col min="5135" max="5135" width="9.125" style="6" customWidth="1"/>
    <col min="5136" max="5136" width="24.75" style="6" customWidth="1"/>
    <col min="5137" max="5138" width="9.125" style="6" customWidth="1"/>
    <col min="5139" max="5376" width="9" style="6"/>
    <col min="5377" max="5377" width="24.625" style="6" customWidth="1"/>
    <col min="5378" max="5378" width="5.125" style="6" bestFit="1" customWidth="1"/>
    <col min="5379" max="5380" width="5.125" style="6" customWidth="1"/>
    <col min="5381" max="5381" width="5.25" style="6" customWidth="1"/>
    <col min="5382" max="5382" width="9.125" style="6" customWidth="1"/>
    <col min="5383" max="5385" width="5.125" style="6" customWidth="1"/>
    <col min="5386" max="5386" width="5" style="6" customWidth="1"/>
    <col min="5387" max="5389" width="3.625" style="6" bestFit="1" customWidth="1"/>
    <col min="5390" max="5390" width="5.125" style="6" customWidth="1"/>
    <col min="5391" max="5391" width="9.125" style="6" customWidth="1"/>
    <col min="5392" max="5392" width="24.75" style="6" customWidth="1"/>
    <col min="5393" max="5394" width="9.125" style="6" customWidth="1"/>
    <col min="5395" max="5632" width="9" style="6"/>
    <col min="5633" max="5633" width="24.625" style="6" customWidth="1"/>
    <col min="5634" max="5634" width="5.125" style="6" bestFit="1" customWidth="1"/>
    <col min="5635" max="5636" width="5.125" style="6" customWidth="1"/>
    <col min="5637" max="5637" width="5.25" style="6" customWidth="1"/>
    <col min="5638" max="5638" width="9.125" style="6" customWidth="1"/>
    <col min="5639" max="5641" width="5.125" style="6" customWidth="1"/>
    <col min="5642" max="5642" width="5" style="6" customWidth="1"/>
    <col min="5643" max="5645" width="3.625" style="6" bestFit="1" customWidth="1"/>
    <col min="5646" max="5646" width="5.125" style="6" customWidth="1"/>
    <col min="5647" max="5647" width="9.125" style="6" customWidth="1"/>
    <col min="5648" max="5648" width="24.75" style="6" customWidth="1"/>
    <col min="5649" max="5650" width="9.125" style="6" customWidth="1"/>
    <col min="5651" max="5888" width="9" style="6"/>
    <col min="5889" max="5889" width="24.625" style="6" customWidth="1"/>
    <col min="5890" max="5890" width="5.125" style="6" bestFit="1" customWidth="1"/>
    <col min="5891" max="5892" width="5.125" style="6" customWidth="1"/>
    <col min="5893" max="5893" width="5.25" style="6" customWidth="1"/>
    <col min="5894" max="5894" width="9.125" style="6" customWidth="1"/>
    <col min="5895" max="5897" width="5.125" style="6" customWidth="1"/>
    <col min="5898" max="5898" width="5" style="6" customWidth="1"/>
    <col min="5899" max="5901" width="3.625" style="6" bestFit="1" customWidth="1"/>
    <col min="5902" max="5902" width="5.125" style="6" customWidth="1"/>
    <col min="5903" max="5903" width="9.125" style="6" customWidth="1"/>
    <col min="5904" max="5904" width="24.75" style="6" customWidth="1"/>
    <col min="5905" max="5906" width="9.125" style="6" customWidth="1"/>
    <col min="5907" max="6144" width="9" style="6"/>
    <col min="6145" max="6145" width="24.625" style="6" customWidth="1"/>
    <col min="6146" max="6146" width="5.125" style="6" bestFit="1" customWidth="1"/>
    <col min="6147" max="6148" width="5.125" style="6" customWidth="1"/>
    <col min="6149" max="6149" width="5.25" style="6" customWidth="1"/>
    <col min="6150" max="6150" width="9.125" style="6" customWidth="1"/>
    <col min="6151" max="6153" width="5.125" style="6" customWidth="1"/>
    <col min="6154" max="6154" width="5" style="6" customWidth="1"/>
    <col min="6155" max="6157" width="3.625" style="6" bestFit="1" customWidth="1"/>
    <col min="6158" max="6158" width="5.125" style="6" customWidth="1"/>
    <col min="6159" max="6159" width="9.125" style="6" customWidth="1"/>
    <col min="6160" max="6160" width="24.75" style="6" customWidth="1"/>
    <col min="6161" max="6162" width="9.125" style="6" customWidth="1"/>
    <col min="6163" max="6400" width="9" style="6"/>
    <col min="6401" max="6401" width="24.625" style="6" customWidth="1"/>
    <col min="6402" max="6402" width="5.125" style="6" bestFit="1" customWidth="1"/>
    <col min="6403" max="6404" width="5.125" style="6" customWidth="1"/>
    <col min="6405" max="6405" width="5.25" style="6" customWidth="1"/>
    <col min="6406" max="6406" width="9.125" style="6" customWidth="1"/>
    <col min="6407" max="6409" width="5.125" style="6" customWidth="1"/>
    <col min="6410" max="6410" width="5" style="6" customWidth="1"/>
    <col min="6411" max="6413" width="3.625" style="6" bestFit="1" customWidth="1"/>
    <col min="6414" max="6414" width="5.125" style="6" customWidth="1"/>
    <col min="6415" max="6415" width="9.125" style="6" customWidth="1"/>
    <col min="6416" max="6416" width="24.75" style="6" customWidth="1"/>
    <col min="6417" max="6418" width="9.125" style="6" customWidth="1"/>
    <col min="6419" max="6656" width="9" style="6"/>
    <col min="6657" max="6657" width="24.625" style="6" customWidth="1"/>
    <col min="6658" max="6658" width="5.125" style="6" bestFit="1" customWidth="1"/>
    <col min="6659" max="6660" width="5.125" style="6" customWidth="1"/>
    <col min="6661" max="6661" width="5.25" style="6" customWidth="1"/>
    <col min="6662" max="6662" width="9.125" style="6" customWidth="1"/>
    <col min="6663" max="6665" width="5.125" style="6" customWidth="1"/>
    <col min="6666" max="6666" width="5" style="6" customWidth="1"/>
    <col min="6667" max="6669" width="3.625" style="6" bestFit="1" customWidth="1"/>
    <col min="6670" max="6670" width="5.125" style="6" customWidth="1"/>
    <col min="6671" max="6671" width="9.125" style="6" customWidth="1"/>
    <col min="6672" max="6672" width="24.75" style="6" customWidth="1"/>
    <col min="6673" max="6674" width="9.125" style="6" customWidth="1"/>
    <col min="6675" max="6912" width="9" style="6"/>
    <col min="6913" max="6913" width="24.625" style="6" customWidth="1"/>
    <col min="6914" max="6914" width="5.125" style="6" bestFit="1" customWidth="1"/>
    <col min="6915" max="6916" width="5.125" style="6" customWidth="1"/>
    <col min="6917" max="6917" width="5.25" style="6" customWidth="1"/>
    <col min="6918" max="6918" width="9.125" style="6" customWidth="1"/>
    <col min="6919" max="6921" width="5.125" style="6" customWidth="1"/>
    <col min="6922" max="6922" width="5" style="6" customWidth="1"/>
    <col min="6923" max="6925" width="3.625" style="6" bestFit="1" customWidth="1"/>
    <col min="6926" max="6926" width="5.125" style="6" customWidth="1"/>
    <col min="6927" max="6927" width="9.125" style="6" customWidth="1"/>
    <col min="6928" max="6928" width="24.75" style="6" customWidth="1"/>
    <col min="6929" max="6930" width="9.125" style="6" customWidth="1"/>
    <col min="6931" max="7168" width="9" style="6"/>
    <col min="7169" max="7169" width="24.625" style="6" customWidth="1"/>
    <col min="7170" max="7170" width="5.125" style="6" bestFit="1" customWidth="1"/>
    <col min="7171" max="7172" width="5.125" style="6" customWidth="1"/>
    <col min="7173" max="7173" width="5.25" style="6" customWidth="1"/>
    <col min="7174" max="7174" width="9.125" style="6" customWidth="1"/>
    <col min="7175" max="7177" width="5.125" style="6" customWidth="1"/>
    <col min="7178" max="7178" width="5" style="6" customWidth="1"/>
    <col min="7179" max="7181" width="3.625" style="6" bestFit="1" customWidth="1"/>
    <col min="7182" max="7182" width="5.125" style="6" customWidth="1"/>
    <col min="7183" max="7183" width="9.125" style="6" customWidth="1"/>
    <col min="7184" max="7184" width="24.75" style="6" customWidth="1"/>
    <col min="7185" max="7186" width="9.125" style="6" customWidth="1"/>
    <col min="7187" max="7424" width="9" style="6"/>
    <col min="7425" max="7425" width="24.625" style="6" customWidth="1"/>
    <col min="7426" max="7426" width="5.125" style="6" bestFit="1" customWidth="1"/>
    <col min="7427" max="7428" width="5.125" style="6" customWidth="1"/>
    <col min="7429" max="7429" width="5.25" style="6" customWidth="1"/>
    <col min="7430" max="7430" width="9.125" style="6" customWidth="1"/>
    <col min="7431" max="7433" width="5.125" style="6" customWidth="1"/>
    <col min="7434" max="7434" width="5" style="6" customWidth="1"/>
    <col min="7435" max="7437" width="3.625" style="6" bestFit="1" customWidth="1"/>
    <col min="7438" max="7438" width="5.125" style="6" customWidth="1"/>
    <col min="7439" max="7439" width="9.125" style="6" customWidth="1"/>
    <col min="7440" max="7440" width="24.75" style="6" customWidth="1"/>
    <col min="7441" max="7442" width="9.125" style="6" customWidth="1"/>
    <col min="7443" max="7680" width="9" style="6"/>
    <col min="7681" max="7681" width="24.625" style="6" customWidth="1"/>
    <col min="7682" max="7682" width="5.125" style="6" bestFit="1" customWidth="1"/>
    <col min="7683" max="7684" width="5.125" style="6" customWidth="1"/>
    <col min="7685" max="7685" width="5.25" style="6" customWidth="1"/>
    <col min="7686" max="7686" width="9.125" style="6" customWidth="1"/>
    <col min="7687" max="7689" width="5.125" style="6" customWidth="1"/>
    <col min="7690" max="7690" width="5" style="6" customWidth="1"/>
    <col min="7691" max="7693" width="3.625" style="6" bestFit="1" customWidth="1"/>
    <col min="7694" max="7694" width="5.125" style="6" customWidth="1"/>
    <col min="7695" max="7695" width="9.125" style="6" customWidth="1"/>
    <col min="7696" max="7696" width="24.75" style="6" customWidth="1"/>
    <col min="7697" max="7698" width="9.125" style="6" customWidth="1"/>
    <col min="7699" max="7936" width="9" style="6"/>
    <col min="7937" max="7937" width="24.625" style="6" customWidth="1"/>
    <col min="7938" max="7938" width="5.125" style="6" bestFit="1" customWidth="1"/>
    <col min="7939" max="7940" width="5.125" style="6" customWidth="1"/>
    <col min="7941" max="7941" width="5.25" style="6" customWidth="1"/>
    <col min="7942" max="7942" width="9.125" style="6" customWidth="1"/>
    <col min="7943" max="7945" width="5.125" style="6" customWidth="1"/>
    <col min="7946" max="7946" width="5" style="6" customWidth="1"/>
    <col min="7947" max="7949" width="3.625" style="6" bestFit="1" customWidth="1"/>
    <col min="7950" max="7950" width="5.125" style="6" customWidth="1"/>
    <col min="7951" max="7951" width="9.125" style="6" customWidth="1"/>
    <col min="7952" max="7952" width="24.75" style="6" customWidth="1"/>
    <col min="7953" max="7954" width="9.125" style="6" customWidth="1"/>
    <col min="7955" max="8192" width="9" style="6"/>
    <col min="8193" max="8193" width="24.625" style="6" customWidth="1"/>
    <col min="8194" max="8194" width="5.125" style="6" bestFit="1" customWidth="1"/>
    <col min="8195" max="8196" width="5.125" style="6" customWidth="1"/>
    <col min="8197" max="8197" width="5.25" style="6" customWidth="1"/>
    <col min="8198" max="8198" width="9.125" style="6" customWidth="1"/>
    <col min="8199" max="8201" width="5.125" style="6" customWidth="1"/>
    <col min="8202" max="8202" width="5" style="6" customWidth="1"/>
    <col min="8203" max="8205" width="3.625" style="6" bestFit="1" customWidth="1"/>
    <col min="8206" max="8206" width="5.125" style="6" customWidth="1"/>
    <col min="8207" max="8207" width="9.125" style="6" customWidth="1"/>
    <col min="8208" max="8208" width="24.75" style="6" customWidth="1"/>
    <col min="8209" max="8210" width="9.125" style="6" customWidth="1"/>
    <col min="8211" max="8448" width="9" style="6"/>
    <col min="8449" max="8449" width="24.625" style="6" customWidth="1"/>
    <col min="8450" max="8450" width="5.125" style="6" bestFit="1" customWidth="1"/>
    <col min="8451" max="8452" width="5.125" style="6" customWidth="1"/>
    <col min="8453" max="8453" width="5.25" style="6" customWidth="1"/>
    <col min="8454" max="8454" width="9.125" style="6" customWidth="1"/>
    <col min="8455" max="8457" width="5.125" style="6" customWidth="1"/>
    <col min="8458" max="8458" width="5" style="6" customWidth="1"/>
    <col min="8459" max="8461" width="3.625" style="6" bestFit="1" customWidth="1"/>
    <col min="8462" max="8462" width="5.125" style="6" customWidth="1"/>
    <col min="8463" max="8463" width="9.125" style="6" customWidth="1"/>
    <col min="8464" max="8464" width="24.75" style="6" customWidth="1"/>
    <col min="8465" max="8466" width="9.125" style="6" customWidth="1"/>
    <col min="8467" max="8704" width="9" style="6"/>
    <col min="8705" max="8705" width="24.625" style="6" customWidth="1"/>
    <col min="8706" max="8706" width="5.125" style="6" bestFit="1" customWidth="1"/>
    <col min="8707" max="8708" width="5.125" style="6" customWidth="1"/>
    <col min="8709" max="8709" width="5.25" style="6" customWidth="1"/>
    <col min="8710" max="8710" width="9.125" style="6" customWidth="1"/>
    <col min="8711" max="8713" width="5.125" style="6" customWidth="1"/>
    <col min="8714" max="8714" width="5" style="6" customWidth="1"/>
    <col min="8715" max="8717" width="3.625" style="6" bestFit="1" customWidth="1"/>
    <col min="8718" max="8718" width="5.125" style="6" customWidth="1"/>
    <col min="8719" max="8719" width="9.125" style="6" customWidth="1"/>
    <col min="8720" max="8720" width="24.75" style="6" customWidth="1"/>
    <col min="8721" max="8722" width="9.125" style="6" customWidth="1"/>
    <col min="8723" max="8960" width="9" style="6"/>
    <col min="8961" max="8961" width="24.625" style="6" customWidth="1"/>
    <col min="8962" max="8962" width="5.125" style="6" bestFit="1" customWidth="1"/>
    <col min="8963" max="8964" width="5.125" style="6" customWidth="1"/>
    <col min="8965" max="8965" width="5.25" style="6" customWidth="1"/>
    <col min="8966" max="8966" width="9.125" style="6" customWidth="1"/>
    <col min="8967" max="8969" width="5.125" style="6" customWidth="1"/>
    <col min="8970" max="8970" width="5" style="6" customWidth="1"/>
    <col min="8971" max="8973" width="3.625" style="6" bestFit="1" customWidth="1"/>
    <col min="8974" max="8974" width="5.125" style="6" customWidth="1"/>
    <col min="8975" max="8975" width="9.125" style="6" customWidth="1"/>
    <col min="8976" max="8976" width="24.75" style="6" customWidth="1"/>
    <col min="8977" max="8978" width="9.125" style="6" customWidth="1"/>
    <col min="8979" max="9216" width="9" style="6"/>
    <col min="9217" max="9217" width="24.625" style="6" customWidth="1"/>
    <col min="9218" max="9218" width="5.125" style="6" bestFit="1" customWidth="1"/>
    <col min="9219" max="9220" width="5.125" style="6" customWidth="1"/>
    <col min="9221" max="9221" width="5.25" style="6" customWidth="1"/>
    <col min="9222" max="9222" width="9.125" style="6" customWidth="1"/>
    <col min="9223" max="9225" width="5.125" style="6" customWidth="1"/>
    <col min="9226" max="9226" width="5" style="6" customWidth="1"/>
    <col min="9227" max="9229" width="3.625" style="6" bestFit="1" customWidth="1"/>
    <col min="9230" max="9230" width="5.125" style="6" customWidth="1"/>
    <col min="9231" max="9231" width="9.125" style="6" customWidth="1"/>
    <col min="9232" max="9232" width="24.75" style="6" customWidth="1"/>
    <col min="9233" max="9234" width="9.125" style="6" customWidth="1"/>
    <col min="9235" max="9472" width="9" style="6"/>
    <col min="9473" max="9473" width="24.625" style="6" customWidth="1"/>
    <col min="9474" max="9474" width="5.125" style="6" bestFit="1" customWidth="1"/>
    <col min="9475" max="9476" width="5.125" style="6" customWidth="1"/>
    <col min="9477" max="9477" width="5.25" style="6" customWidth="1"/>
    <col min="9478" max="9478" width="9.125" style="6" customWidth="1"/>
    <col min="9479" max="9481" width="5.125" style="6" customWidth="1"/>
    <col min="9482" max="9482" width="5" style="6" customWidth="1"/>
    <col min="9483" max="9485" width="3.625" style="6" bestFit="1" customWidth="1"/>
    <col min="9486" max="9486" width="5.125" style="6" customWidth="1"/>
    <col min="9487" max="9487" width="9.125" style="6" customWidth="1"/>
    <col min="9488" max="9488" width="24.75" style="6" customWidth="1"/>
    <col min="9489" max="9490" width="9.125" style="6" customWidth="1"/>
    <col min="9491" max="9728" width="9" style="6"/>
    <col min="9729" max="9729" width="24.625" style="6" customWidth="1"/>
    <col min="9730" max="9730" width="5.125" style="6" bestFit="1" customWidth="1"/>
    <col min="9731" max="9732" width="5.125" style="6" customWidth="1"/>
    <col min="9733" max="9733" width="5.25" style="6" customWidth="1"/>
    <col min="9734" max="9734" width="9.125" style="6" customWidth="1"/>
    <col min="9735" max="9737" width="5.125" style="6" customWidth="1"/>
    <col min="9738" max="9738" width="5" style="6" customWidth="1"/>
    <col min="9739" max="9741" width="3.625" style="6" bestFit="1" customWidth="1"/>
    <col min="9742" max="9742" width="5.125" style="6" customWidth="1"/>
    <col min="9743" max="9743" width="9.125" style="6" customWidth="1"/>
    <col min="9744" max="9744" width="24.75" style="6" customWidth="1"/>
    <col min="9745" max="9746" width="9.125" style="6" customWidth="1"/>
    <col min="9747" max="9984" width="9" style="6"/>
    <col min="9985" max="9985" width="24.625" style="6" customWidth="1"/>
    <col min="9986" max="9986" width="5.125" style="6" bestFit="1" customWidth="1"/>
    <col min="9987" max="9988" width="5.125" style="6" customWidth="1"/>
    <col min="9989" max="9989" width="5.25" style="6" customWidth="1"/>
    <col min="9990" max="9990" width="9.125" style="6" customWidth="1"/>
    <col min="9991" max="9993" width="5.125" style="6" customWidth="1"/>
    <col min="9994" max="9994" width="5" style="6" customWidth="1"/>
    <col min="9995" max="9997" width="3.625" style="6" bestFit="1" customWidth="1"/>
    <col min="9998" max="9998" width="5.125" style="6" customWidth="1"/>
    <col min="9999" max="9999" width="9.125" style="6" customWidth="1"/>
    <col min="10000" max="10000" width="24.75" style="6" customWidth="1"/>
    <col min="10001" max="10002" width="9.125" style="6" customWidth="1"/>
    <col min="10003" max="10240" width="9" style="6"/>
    <col min="10241" max="10241" width="24.625" style="6" customWidth="1"/>
    <col min="10242" max="10242" width="5.125" style="6" bestFit="1" customWidth="1"/>
    <col min="10243" max="10244" width="5.125" style="6" customWidth="1"/>
    <col min="10245" max="10245" width="5.25" style="6" customWidth="1"/>
    <col min="10246" max="10246" width="9.125" style="6" customWidth="1"/>
    <col min="10247" max="10249" width="5.125" style="6" customWidth="1"/>
    <col min="10250" max="10250" width="5" style="6" customWidth="1"/>
    <col min="10251" max="10253" width="3.625" style="6" bestFit="1" customWidth="1"/>
    <col min="10254" max="10254" width="5.125" style="6" customWidth="1"/>
    <col min="10255" max="10255" width="9.125" style="6" customWidth="1"/>
    <col min="10256" max="10256" width="24.75" style="6" customWidth="1"/>
    <col min="10257" max="10258" width="9.125" style="6" customWidth="1"/>
    <col min="10259" max="10496" width="9" style="6"/>
    <col min="10497" max="10497" width="24.625" style="6" customWidth="1"/>
    <col min="10498" max="10498" width="5.125" style="6" bestFit="1" customWidth="1"/>
    <col min="10499" max="10500" width="5.125" style="6" customWidth="1"/>
    <col min="10501" max="10501" width="5.25" style="6" customWidth="1"/>
    <col min="10502" max="10502" width="9.125" style="6" customWidth="1"/>
    <col min="10503" max="10505" width="5.125" style="6" customWidth="1"/>
    <col min="10506" max="10506" width="5" style="6" customWidth="1"/>
    <col min="10507" max="10509" width="3.625" style="6" bestFit="1" customWidth="1"/>
    <col min="10510" max="10510" width="5.125" style="6" customWidth="1"/>
    <col min="10511" max="10511" width="9.125" style="6" customWidth="1"/>
    <col min="10512" max="10512" width="24.75" style="6" customWidth="1"/>
    <col min="10513" max="10514" width="9.125" style="6" customWidth="1"/>
    <col min="10515" max="10752" width="9" style="6"/>
    <col min="10753" max="10753" width="24.625" style="6" customWidth="1"/>
    <col min="10754" max="10754" width="5.125" style="6" bestFit="1" customWidth="1"/>
    <col min="10755" max="10756" width="5.125" style="6" customWidth="1"/>
    <col min="10757" max="10757" width="5.25" style="6" customWidth="1"/>
    <col min="10758" max="10758" width="9.125" style="6" customWidth="1"/>
    <col min="10759" max="10761" width="5.125" style="6" customWidth="1"/>
    <col min="10762" max="10762" width="5" style="6" customWidth="1"/>
    <col min="10763" max="10765" width="3.625" style="6" bestFit="1" customWidth="1"/>
    <col min="10766" max="10766" width="5.125" style="6" customWidth="1"/>
    <col min="10767" max="10767" width="9.125" style="6" customWidth="1"/>
    <col min="10768" max="10768" width="24.75" style="6" customWidth="1"/>
    <col min="10769" max="10770" width="9.125" style="6" customWidth="1"/>
    <col min="10771" max="11008" width="9" style="6"/>
    <col min="11009" max="11009" width="24.625" style="6" customWidth="1"/>
    <col min="11010" max="11010" width="5.125" style="6" bestFit="1" customWidth="1"/>
    <col min="11011" max="11012" width="5.125" style="6" customWidth="1"/>
    <col min="11013" max="11013" width="5.25" style="6" customWidth="1"/>
    <col min="11014" max="11014" width="9.125" style="6" customWidth="1"/>
    <col min="11015" max="11017" width="5.125" style="6" customWidth="1"/>
    <col min="11018" max="11018" width="5" style="6" customWidth="1"/>
    <col min="11019" max="11021" width="3.625" style="6" bestFit="1" customWidth="1"/>
    <col min="11022" max="11022" width="5.125" style="6" customWidth="1"/>
    <col min="11023" max="11023" width="9.125" style="6" customWidth="1"/>
    <col min="11024" max="11024" width="24.75" style="6" customWidth="1"/>
    <col min="11025" max="11026" width="9.125" style="6" customWidth="1"/>
    <col min="11027" max="11264" width="9" style="6"/>
    <col min="11265" max="11265" width="24.625" style="6" customWidth="1"/>
    <col min="11266" max="11266" width="5.125" style="6" bestFit="1" customWidth="1"/>
    <col min="11267" max="11268" width="5.125" style="6" customWidth="1"/>
    <col min="11269" max="11269" width="5.25" style="6" customWidth="1"/>
    <col min="11270" max="11270" width="9.125" style="6" customWidth="1"/>
    <col min="11271" max="11273" width="5.125" style="6" customWidth="1"/>
    <col min="11274" max="11274" width="5" style="6" customWidth="1"/>
    <col min="11275" max="11277" width="3.625" style="6" bestFit="1" customWidth="1"/>
    <col min="11278" max="11278" width="5.125" style="6" customWidth="1"/>
    <col min="11279" max="11279" width="9.125" style="6" customWidth="1"/>
    <col min="11280" max="11280" width="24.75" style="6" customWidth="1"/>
    <col min="11281" max="11282" width="9.125" style="6" customWidth="1"/>
    <col min="11283" max="11520" width="9" style="6"/>
    <col min="11521" max="11521" width="24.625" style="6" customWidth="1"/>
    <col min="11522" max="11522" width="5.125" style="6" bestFit="1" customWidth="1"/>
    <col min="11523" max="11524" width="5.125" style="6" customWidth="1"/>
    <col min="11525" max="11525" width="5.25" style="6" customWidth="1"/>
    <col min="11526" max="11526" width="9.125" style="6" customWidth="1"/>
    <col min="11527" max="11529" width="5.125" style="6" customWidth="1"/>
    <col min="11530" max="11530" width="5" style="6" customWidth="1"/>
    <col min="11531" max="11533" width="3.625" style="6" bestFit="1" customWidth="1"/>
    <col min="11534" max="11534" width="5.125" style="6" customWidth="1"/>
    <col min="11535" max="11535" width="9.125" style="6" customWidth="1"/>
    <col min="11536" max="11536" width="24.75" style="6" customWidth="1"/>
    <col min="11537" max="11538" width="9.125" style="6" customWidth="1"/>
    <col min="11539" max="11776" width="9" style="6"/>
    <col min="11777" max="11777" width="24.625" style="6" customWidth="1"/>
    <col min="11778" max="11778" width="5.125" style="6" bestFit="1" customWidth="1"/>
    <col min="11779" max="11780" width="5.125" style="6" customWidth="1"/>
    <col min="11781" max="11781" width="5.25" style="6" customWidth="1"/>
    <col min="11782" max="11782" width="9.125" style="6" customWidth="1"/>
    <col min="11783" max="11785" width="5.125" style="6" customWidth="1"/>
    <col min="11786" max="11786" width="5" style="6" customWidth="1"/>
    <col min="11787" max="11789" width="3.625" style="6" bestFit="1" customWidth="1"/>
    <col min="11790" max="11790" width="5.125" style="6" customWidth="1"/>
    <col min="11791" max="11791" width="9.125" style="6" customWidth="1"/>
    <col min="11792" max="11792" width="24.75" style="6" customWidth="1"/>
    <col min="11793" max="11794" width="9.125" style="6" customWidth="1"/>
    <col min="11795" max="12032" width="9" style="6"/>
    <col min="12033" max="12033" width="24.625" style="6" customWidth="1"/>
    <col min="12034" max="12034" width="5.125" style="6" bestFit="1" customWidth="1"/>
    <col min="12035" max="12036" width="5.125" style="6" customWidth="1"/>
    <col min="12037" max="12037" width="5.25" style="6" customWidth="1"/>
    <col min="12038" max="12038" width="9.125" style="6" customWidth="1"/>
    <col min="12039" max="12041" width="5.125" style="6" customWidth="1"/>
    <col min="12042" max="12042" width="5" style="6" customWidth="1"/>
    <col min="12043" max="12045" width="3.625" style="6" bestFit="1" customWidth="1"/>
    <col min="12046" max="12046" width="5.125" style="6" customWidth="1"/>
    <col min="12047" max="12047" width="9.125" style="6" customWidth="1"/>
    <col min="12048" max="12048" width="24.75" style="6" customWidth="1"/>
    <col min="12049" max="12050" width="9.125" style="6" customWidth="1"/>
    <col min="12051" max="12288" width="9" style="6"/>
    <col min="12289" max="12289" width="24.625" style="6" customWidth="1"/>
    <col min="12290" max="12290" width="5.125" style="6" bestFit="1" customWidth="1"/>
    <col min="12291" max="12292" width="5.125" style="6" customWidth="1"/>
    <col min="12293" max="12293" width="5.25" style="6" customWidth="1"/>
    <col min="12294" max="12294" width="9.125" style="6" customWidth="1"/>
    <col min="12295" max="12297" width="5.125" style="6" customWidth="1"/>
    <col min="12298" max="12298" width="5" style="6" customWidth="1"/>
    <col min="12299" max="12301" width="3.625" style="6" bestFit="1" customWidth="1"/>
    <col min="12302" max="12302" width="5.125" style="6" customWidth="1"/>
    <col min="12303" max="12303" width="9.125" style="6" customWidth="1"/>
    <col min="12304" max="12304" width="24.75" style="6" customWidth="1"/>
    <col min="12305" max="12306" width="9.125" style="6" customWidth="1"/>
    <col min="12307" max="12544" width="9" style="6"/>
    <col min="12545" max="12545" width="24.625" style="6" customWidth="1"/>
    <col min="12546" max="12546" width="5.125" style="6" bestFit="1" customWidth="1"/>
    <col min="12547" max="12548" width="5.125" style="6" customWidth="1"/>
    <col min="12549" max="12549" width="5.25" style="6" customWidth="1"/>
    <col min="12550" max="12550" width="9.125" style="6" customWidth="1"/>
    <col min="12551" max="12553" width="5.125" style="6" customWidth="1"/>
    <col min="12554" max="12554" width="5" style="6" customWidth="1"/>
    <col min="12555" max="12557" width="3.625" style="6" bestFit="1" customWidth="1"/>
    <col min="12558" max="12558" width="5.125" style="6" customWidth="1"/>
    <col min="12559" max="12559" width="9.125" style="6" customWidth="1"/>
    <col min="12560" max="12560" width="24.75" style="6" customWidth="1"/>
    <col min="12561" max="12562" width="9.125" style="6" customWidth="1"/>
    <col min="12563" max="12800" width="9" style="6"/>
    <col min="12801" max="12801" width="24.625" style="6" customWidth="1"/>
    <col min="12802" max="12802" width="5.125" style="6" bestFit="1" customWidth="1"/>
    <col min="12803" max="12804" width="5.125" style="6" customWidth="1"/>
    <col min="12805" max="12805" width="5.25" style="6" customWidth="1"/>
    <col min="12806" max="12806" width="9.125" style="6" customWidth="1"/>
    <col min="12807" max="12809" width="5.125" style="6" customWidth="1"/>
    <col min="12810" max="12810" width="5" style="6" customWidth="1"/>
    <col min="12811" max="12813" width="3.625" style="6" bestFit="1" customWidth="1"/>
    <col min="12814" max="12814" width="5.125" style="6" customWidth="1"/>
    <col min="12815" max="12815" width="9.125" style="6" customWidth="1"/>
    <col min="12816" max="12816" width="24.75" style="6" customWidth="1"/>
    <col min="12817" max="12818" width="9.125" style="6" customWidth="1"/>
    <col min="12819" max="13056" width="9" style="6"/>
    <col min="13057" max="13057" width="24.625" style="6" customWidth="1"/>
    <col min="13058" max="13058" width="5.125" style="6" bestFit="1" customWidth="1"/>
    <col min="13059" max="13060" width="5.125" style="6" customWidth="1"/>
    <col min="13061" max="13061" width="5.25" style="6" customWidth="1"/>
    <col min="13062" max="13062" width="9.125" style="6" customWidth="1"/>
    <col min="13063" max="13065" width="5.125" style="6" customWidth="1"/>
    <col min="13066" max="13066" width="5" style="6" customWidth="1"/>
    <col min="13067" max="13069" width="3.625" style="6" bestFit="1" customWidth="1"/>
    <col min="13070" max="13070" width="5.125" style="6" customWidth="1"/>
    <col min="13071" max="13071" width="9.125" style="6" customWidth="1"/>
    <col min="13072" max="13072" width="24.75" style="6" customWidth="1"/>
    <col min="13073" max="13074" width="9.125" style="6" customWidth="1"/>
    <col min="13075" max="13312" width="9" style="6"/>
    <col min="13313" max="13313" width="24.625" style="6" customWidth="1"/>
    <col min="13314" max="13314" width="5.125" style="6" bestFit="1" customWidth="1"/>
    <col min="13315" max="13316" width="5.125" style="6" customWidth="1"/>
    <col min="13317" max="13317" width="5.25" style="6" customWidth="1"/>
    <col min="13318" max="13318" width="9.125" style="6" customWidth="1"/>
    <col min="13319" max="13321" width="5.125" style="6" customWidth="1"/>
    <col min="13322" max="13322" width="5" style="6" customWidth="1"/>
    <col min="13323" max="13325" width="3.625" style="6" bestFit="1" customWidth="1"/>
    <col min="13326" max="13326" width="5.125" style="6" customWidth="1"/>
    <col min="13327" max="13327" width="9.125" style="6" customWidth="1"/>
    <col min="13328" max="13328" width="24.75" style="6" customWidth="1"/>
    <col min="13329" max="13330" width="9.125" style="6" customWidth="1"/>
    <col min="13331" max="13568" width="9" style="6"/>
    <col min="13569" max="13569" width="24.625" style="6" customWidth="1"/>
    <col min="13570" max="13570" width="5.125" style="6" bestFit="1" customWidth="1"/>
    <col min="13571" max="13572" width="5.125" style="6" customWidth="1"/>
    <col min="13573" max="13573" width="5.25" style="6" customWidth="1"/>
    <col min="13574" max="13574" width="9.125" style="6" customWidth="1"/>
    <col min="13575" max="13577" width="5.125" style="6" customWidth="1"/>
    <col min="13578" max="13578" width="5" style="6" customWidth="1"/>
    <col min="13579" max="13581" width="3.625" style="6" bestFit="1" customWidth="1"/>
    <col min="13582" max="13582" width="5.125" style="6" customWidth="1"/>
    <col min="13583" max="13583" width="9.125" style="6" customWidth="1"/>
    <col min="13584" max="13584" width="24.75" style="6" customWidth="1"/>
    <col min="13585" max="13586" width="9.125" style="6" customWidth="1"/>
    <col min="13587" max="13824" width="9" style="6"/>
    <col min="13825" max="13825" width="24.625" style="6" customWidth="1"/>
    <col min="13826" max="13826" width="5.125" style="6" bestFit="1" customWidth="1"/>
    <col min="13827" max="13828" width="5.125" style="6" customWidth="1"/>
    <col min="13829" max="13829" width="5.25" style="6" customWidth="1"/>
    <col min="13830" max="13830" width="9.125" style="6" customWidth="1"/>
    <col min="13831" max="13833" width="5.125" style="6" customWidth="1"/>
    <col min="13834" max="13834" width="5" style="6" customWidth="1"/>
    <col min="13835" max="13837" width="3.625" style="6" bestFit="1" customWidth="1"/>
    <col min="13838" max="13838" width="5.125" style="6" customWidth="1"/>
    <col min="13839" max="13839" width="9.125" style="6" customWidth="1"/>
    <col min="13840" max="13840" width="24.75" style="6" customWidth="1"/>
    <col min="13841" max="13842" width="9.125" style="6" customWidth="1"/>
    <col min="13843" max="14080" width="9" style="6"/>
    <col min="14081" max="14081" width="24.625" style="6" customWidth="1"/>
    <col min="14082" max="14082" width="5.125" style="6" bestFit="1" customWidth="1"/>
    <col min="14083" max="14084" width="5.125" style="6" customWidth="1"/>
    <col min="14085" max="14085" width="5.25" style="6" customWidth="1"/>
    <col min="14086" max="14086" width="9.125" style="6" customWidth="1"/>
    <col min="14087" max="14089" width="5.125" style="6" customWidth="1"/>
    <col min="14090" max="14090" width="5" style="6" customWidth="1"/>
    <col min="14091" max="14093" width="3.625" style="6" bestFit="1" customWidth="1"/>
    <col min="14094" max="14094" width="5.125" style="6" customWidth="1"/>
    <col min="14095" max="14095" width="9.125" style="6" customWidth="1"/>
    <col min="14096" max="14096" width="24.75" style="6" customWidth="1"/>
    <col min="14097" max="14098" width="9.125" style="6" customWidth="1"/>
    <col min="14099" max="14336" width="9" style="6"/>
    <col min="14337" max="14337" width="24.625" style="6" customWidth="1"/>
    <col min="14338" max="14338" width="5.125" style="6" bestFit="1" customWidth="1"/>
    <col min="14339" max="14340" width="5.125" style="6" customWidth="1"/>
    <col min="14341" max="14341" width="5.25" style="6" customWidth="1"/>
    <col min="14342" max="14342" width="9.125" style="6" customWidth="1"/>
    <col min="14343" max="14345" width="5.125" style="6" customWidth="1"/>
    <col min="14346" max="14346" width="5" style="6" customWidth="1"/>
    <col min="14347" max="14349" width="3.625" style="6" bestFit="1" customWidth="1"/>
    <col min="14350" max="14350" width="5.125" style="6" customWidth="1"/>
    <col min="14351" max="14351" width="9.125" style="6" customWidth="1"/>
    <col min="14352" max="14352" width="24.75" style="6" customWidth="1"/>
    <col min="14353" max="14354" width="9.125" style="6" customWidth="1"/>
    <col min="14355" max="14592" width="9" style="6"/>
    <col min="14593" max="14593" width="24.625" style="6" customWidth="1"/>
    <col min="14594" max="14594" width="5.125" style="6" bestFit="1" customWidth="1"/>
    <col min="14595" max="14596" width="5.125" style="6" customWidth="1"/>
    <col min="14597" max="14597" width="5.25" style="6" customWidth="1"/>
    <col min="14598" max="14598" width="9.125" style="6" customWidth="1"/>
    <col min="14599" max="14601" width="5.125" style="6" customWidth="1"/>
    <col min="14602" max="14602" width="5" style="6" customWidth="1"/>
    <col min="14603" max="14605" width="3.625" style="6" bestFit="1" customWidth="1"/>
    <col min="14606" max="14606" width="5.125" style="6" customWidth="1"/>
    <col min="14607" max="14607" width="9.125" style="6" customWidth="1"/>
    <col min="14608" max="14608" width="24.75" style="6" customWidth="1"/>
    <col min="14609" max="14610" width="9.125" style="6" customWidth="1"/>
    <col min="14611" max="14848" width="9" style="6"/>
    <col min="14849" max="14849" width="24.625" style="6" customWidth="1"/>
    <col min="14850" max="14850" width="5.125" style="6" bestFit="1" customWidth="1"/>
    <col min="14851" max="14852" width="5.125" style="6" customWidth="1"/>
    <col min="14853" max="14853" width="5.25" style="6" customWidth="1"/>
    <col min="14854" max="14854" width="9.125" style="6" customWidth="1"/>
    <col min="14855" max="14857" width="5.125" style="6" customWidth="1"/>
    <col min="14858" max="14858" width="5" style="6" customWidth="1"/>
    <col min="14859" max="14861" width="3.625" style="6" bestFit="1" customWidth="1"/>
    <col min="14862" max="14862" width="5.125" style="6" customWidth="1"/>
    <col min="14863" max="14863" width="9.125" style="6" customWidth="1"/>
    <col min="14864" max="14864" width="24.75" style="6" customWidth="1"/>
    <col min="14865" max="14866" width="9.125" style="6" customWidth="1"/>
    <col min="14867" max="15104" width="9" style="6"/>
    <col min="15105" max="15105" width="24.625" style="6" customWidth="1"/>
    <col min="15106" max="15106" width="5.125" style="6" bestFit="1" customWidth="1"/>
    <col min="15107" max="15108" width="5.125" style="6" customWidth="1"/>
    <col min="15109" max="15109" width="5.25" style="6" customWidth="1"/>
    <col min="15110" max="15110" width="9.125" style="6" customWidth="1"/>
    <col min="15111" max="15113" width="5.125" style="6" customWidth="1"/>
    <col min="15114" max="15114" width="5" style="6" customWidth="1"/>
    <col min="15115" max="15117" width="3.625" style="6" bestFit="1" customWidth="1"/>
    <col min="15118" max="15118" width="5.125" style="6" customWidth="1"/>
    <col min="15119" max="15119" width="9.125" style="6" customWidth="1"/>
    <col min="15120" max="15120" width="24.75" style="6" customWidth="1"/>
    <col min="15121" max="15122" width="9.125" style="6" customWidth="1"/>
    <col min="15123" max="15360" width="9" style="6"/>
    <col min="15361" max="15361" width="24.625" style="6" customWidth="1"/>
    <col min="15362" max="15362" width="5.125" style="6" bestFit="1" customWidth="1"/>
    <col min="15363" max="15364" width="5.125" style="6" customWidth="1"/>
    <col min="15365" max="15365" width="5.25" style="6" customWidth="1"/>
    <col min="15366" max="15366" width="9.125" style="6" customWidth="1"/>
    <col min="15367" max="15369" width="5.125" style="6" customWidth="1"/>
    <col min="15370" max="15370" width="5" style="6" customWidth="1"/>
    <col min="15371" max="15373" width="3.625" style="6" bestFit="1" customWidth="1"/>
    <col min="15374" max="15374" width="5.125" style="6" customWidth="1"/>
    <col min="15375" max="15375" width="9.125" style="6" customWidth="1"/>
    <col min="15376" max="15376" width="24.75" style="6" customWidth="1"/>
    <col min="15377" max="15378" width="9.125" style="6" customWidth="1"/>
    <col min="15379" max="15616" width="9" style="6"/>
    <col min="15617" max="15617" width="24.625" style="6" customWidth="1"/>
    <col min="15618" max="15618" width="5.125" style="6" bestFit="1" customWidth="1"/>
    <col min="15619" max="15620" width="5.125" style="6" customWidth="1"/>
    <col min="15621" max="15621" width="5.25" style="6" customWidth="1"/>
    <col min="15622" max="15622" width="9.125" style="6" customWidth="1"/>
    <col min="15623" max="15625" width="5.125" style="6" customWidth="1"/>
    <col min="15626" max="15626" width="5" style="6" customWidth="1"/>
    <col min="15627" max="15629" width="3.625" style="6" bestFit="1" customWidth="1"/>
    <col min="15630" max="15630" width="5.125" style="6" customWidth="1"/>
    <col min="15631" max="15631" width="9.125" style="6" customWidth="1"/>
    <col min="15632" max="15632" width="24.75" style="6" customWidth="1"/>
    <col min="15633" max="15634" width="9.125" style="6" customWidth="1"/>
    <col min="15635" max="15872" width="9" style="6"/>
    <col min="15873" max="15873" width="24.625" style="6" customWidth="1"/>
    <col min="15874" max="15874" width="5.125" style="6" bestFit="1" customWidth="1"/>
    <col min="15875" max="15876" width="5.125" style="6" customWidth="1"/>
    <col min="15877" max="15877" width="5.25" style="6" customWidth="1"/>
    <col min="15878" max="15878" width="9.125" style="6" customWidth="1"/>
    <col min="15879" max="15881" width="5.125" style="6" customWidth="1"/>
    <col min="15882" max="15882" width="5" style="6" customWidth="1"/>
    <col min="15883" max="15885" width="3.625" style="6" bestFit="1" customWidth="1"/>
    <col min="15886" max="15886" width="5.125" style="6" customWidth="1"/>
    <col min="15887" max="15887" width="9.125" style="6" customWidth="1"/>
    <col min="15888" max="15888" width="24.75" style="6" customWidth="1"/>
    <col min="15889" max="15890" width="9.125" style="6" customWidth="1"/>
    <col min="15891" max="16128" width="9" style="6"/>
    <col min="16129" max="16129" width="24.625" style="6" customWidth="1"/>
    <col min="16130" max="16130" width="5.125" style="6" bestFit="1" customWidth="1"/>
    <col min="16131" max="16132" width="5.125" style="6" customWidth="1"/>
    <col min="16133" max="16133" width="5.25" style="6" customWidth="1"/>
    <col min="16134" max="16134" width="9.125" style="6" customWidth="1"/>
    <col min="16135" max="16137" width="5.125" style="6" customWidth="1"/>
    <col min="16138" max="16138" width="5" style="6" customWidth="1"/>
    <col min="16139" max="16141" width="3.625" style="6" bestFit="1" customWidth="1"/>
    <col min="16142" max="16142" width="5.125" style="6" customWidth="1"/>
    <col min="16143" max="16143" width="9.125" style="6" customWidth="1"/>
    <col min="16144" max="16144" width="24.75" style="6" customWidth="1"/>
    <col min="16145" max="16146" width="9.125" style="6" customWidth="1"/>
    <col min="16147" max="16384" width="9" style="6"/>
  </cols>
  <sheetData>
    <row r="1" spans="1:18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16" t="s">
        <v>13</v>
      </c>
      <c r="O1" s="6" t="s">
        <v>78</v>
      </c>
      <c r="P1" s="3" t="s">
        <v>14</v>
      </c>
      <c r="Q1" s="6" t="s">
        <v>15</v>
      </c>
      <c r="R1" s="7" t="s">
        <v>16</v>
      </c>
    </row>
    <row r="2" spans="1:18" ht="15" customHeight="1" x14ac:dyDescent="0.15">
      <c r="A2" s="3" t="s">
        <v>291</v>
      </c>
      <c r="B2" s="2">
        <v>277</v>
      </c>
      <c r="C2" s="2">
        <v>139</v>
      </c>
      <c r="D2" s="2">
        <v>139</v>
      </c>
      <c r="E2" s="2"/>
      <c r="F2" s="2">
        <v>185</v>
      </c>
      <c r="G2" s="2">
        <v>98</v>
      </c>
      <c r="H2" s="2">
        <v>122</v>
      </c>
      <c r="I2" s="2"/>
      <c r="J2" s="2"/>
      <c r="K2" s="2"/>
      <c r="L2" s="2"/>
      <c r="M2" s="2">
        <v>1</v>
      </c>
      <c r="N2" s="49" t="s">
        <v>18</v>
      </c>
      <c r="O2" s="6">
        <v>1</v>
      </c>
      <c r="P2" s="3" t="s">
        <v>79</v>
      </c>
      <c r="Q2" s="4">
        <f>D2*0.22+E2*0.59+F2*1+G2*0.98+H2*0.76</f>
        <v>404.34000000000003</v>
      </c>
      <c r="R2" s="4">
        <f>Q2+I2*1.88</f>
        <v>404.34000000000003</v>
      </c>
    </row>
    <row r="3" spans="1:18" ht="15" customHeight="1" x14ac:dyDescent="0.15">
      <c r="A3" s="3" t="s">
        <v>292</v>
      </c>
      <c r="B3" s="2">
        <v>277</v>
      </c>
      <c r="C3" s="2">
        <v>139</v>
      </c>
      <c r="D3" s="2">
        <v>139</v>
      </c>
      <c r="E3" s="2">
        <v>106</v>
      </c>
      <c r="F3" s="2">
        <v>186</v>
      </c>
      <c r="G3" s="2"/>
      <c r="H3" s="2">
        <v>114</v>
      </c>
      <c r="I3" s="2"/>
      <c r="J3" s="2"/>
      <c r="K3" s="2"/>
      <c r="L3" s="2"/>
      <c r="M3" s="2">
        <v>1</v>
      </c>
      <c r="N3" s="50" t="s">
        <v>18</v>
      </c>
      <c r="O3" s="6">
        <v>1</v>
      </c>
      <c r="P3" s="3" t="s">
        <v>81</v>
      </c>
      <c r="Q3" s="4">
        <f t="shared" ref="Q3:Q13" si="0">D3*0.22+E3*0.59+F3*1+G3*0.98+H3*0.76</f>
        <v>365.76</v>
      </c>
      <c r="R3" s="4">
        <f t="shared" ref="R3:R13" si="1">Q3+I3*1.88</f>
        <v>365.76</v>
      </c>
    </row>
    <row r="4" spans="1:18" ht="15" customHeight="1" x14ac:dyDescent="0.15">
      <c r="A4" s="3" t="s">
        <v>293</v>
      </c>
      <c r="B4" s="2">
        <v>277</v>
      </c>
      <c r="C4" s="2">
        <v>139</v>
      </c>
      <c r="D4" s="2">
        <v>139</v>
      </c>
      <c r="E4" s="2">
        <v>114</v>
      </c>
      <c r="F4" s="2">
        <v>186</v>
      </c>
      <c r="G4" s="2"/>
      <c r="H4" s="2">
        <v>106</v>
      </c>
      <c r="I4" s="2"/>
      <c r="J4" s="2"/>
      <c r="K4" s="2"/>
      <c r="L4" s="2">
        <v>1</v>
      </c>
      <c r="M4" s="2"/>
      <c r="N4" s="49" t="s">
        <v>18</v>
      </c>
      <c r="O4" s="2">
        <v>1</v>
      </c>
      <c r="P4" s="3" t="s">
        <v>83</v>
      </c>
      <c r="Q4" s="4">
        <f t="shared" si="0"/>
        <v>364.4</v>
      </c>
      <c r="R4" s="4">
        <f t="shared" si="1"/>
        <v>364.4</v>
      </c>
    </row>
    <row r="5" spans="1:18" ht="15" customHeight="1" x14ac:dyDescent="0.15">
      <c r="A5" s="3" t="s">
        <v>383</v>
      </c>
      <c r="B5" s="2">
        <v>264</v>
      </c>
      <c r="C5" s="2">
        <v>123</v>
      </c>
      <c r="D5" s="2">
        <v>123</v>
      </c>
      <c r="E5" s="2"/>
      <c r="F5" s="2">
        <v>161</v>
      </c>
      <c r="G5" s="2">
        <v>84</v>
      </c>
      <c r="H5" s="2">
        <v>108</v>
      </c>
      <c r="I5" s="2"/>
      <c r="J5" s="2"/>
      <c r="K5" s="2"/>
      <c r="L5" s="2"/>
      <c r="M5" s="2">
        <v>1</v>
      </c>
      <c r="N5" s="50" t="s">
        <v>84</v>
      </c>
      <c r="O5" s="2">
        <v>1</v>
      </c>
      <c r="P5" s="3" t="s">
        <v>85</v>
      </c>
      <c r="Q5" s="4">
        <f t="shared" si="0"/>
        <v>352.46</v>
      </c>
      <c r="R5" s="4">
        <f t="shared" si="1"/>
        <v>352.46</v>
      </c>
    </row>
    <row r="6" spans="1:18" ht="15" customHeight="1" x14ac:dyDescent="0.15">
      <c r="A6" s="3" t="s">
        <v>80</v>
      </c>
      <c r="B6" s="2">
        <v>264</v>
      </c>
      <c r="C6" s="2">
        <v>123</v>
      </c>
      <c r="D6" s="2">
        <v>123</v>
      </c>
      <c r="E6" s="2">
        <v>92</v>
      </c>
      <c r="F6" s="2">
        <v>162</v>
      </c>
      <c r="G6" s="2"/>
      <c r="H6" s="2">
        <v>100</v>
      </c>
      <c r="I6" s="2"/>
      <c r="J6" s="2"/>
      <c r="K6" s="2"/>
      <c r="L6" s="2"/>
      <c r="M6" s="2">
        <v>1</v>
      </c>
      <c r="N6" s="49" t="s">
        <v>84</v>
      </c>
      <c r="O6" s="2">
        <v>1</v>
      </c>
      <c r="P6" s="3" t="s">
        <v>86</v>
      </c>
      <c r="Q6" s="4">
        <f t="shared" si="0"/>
        <v>319.33999999999997</v>
      </c>
      <c r="R6" s="4">
        <f t="shared" si="1"/>
        <v>319.33999999999997</v>
      </c>
    </row>
    <row r="7" spans="1:18" ht="15" customHeight="1" x14ac:dyDescent="0.15">
      <c r="A7" s="3" t="s">
        <v>294</v>
      </c>
      <c r="B7" s="2">
        <v>264</v>
      </c>
      <c r="C7" s="2">
        <v>123</v>
      </c>
      <c r="D7" s="2">
        <v>123</v>
      </c>
      <c r="E7" s="2"/>
      <c r="F7" s="2">
        <v>162</v>
      </c>
      <c r="G7" s="2">
        <v>108</v>
      </c>
      <c r="H7" s="2">
        <v>84</v>
      </c>
      <c r="I7" s="2"/>
      <c r="J7" s="2"/>
      <c r="K7" s="2"/>
      <c r="L7" s="2"/>
      <c r="M7" s="2">
        <v>1</v>
      </c>
      <c r="N7" s="50" t="s">
        <v>18</v>
      </c>
      <c r="O7" s="2">
        <v>1</v>
      </c>
      <c r="P7" s="3" t="s">
        <v>72</v>
      </c>
      <c r="Q7" s="4">
        <f t="shared" si="0"/>
        <v>358.74</v>
      </c>
      <c r="R7" s="4">
        <f t="shared" si="1"/>
        <v>358.74</v>
      </c>
    </row>
    <row r="8" spans="1:18" ht="15" customHeight="1" x14ac:dyDescent="0.15">
      <c r="A8" s="3" t="s">
        <v>295</v>
      </c>
      <c r="B8" s="2">
        <v>264</v>
      </c>
      <c r="C8" s="2">
        <v>123</v>
      </c>
      <c r="D8" s="2">
        <v>123</v>
      </c>
      <c r="E8" s="2">
        <v>100</v>
      </c>
      <c r="F8" s="2">
        <v>171</v>
      </c>
      <c r="G8" s="2">
        <v>84</v>
      </c>
      <c r="H8" s="2"/>
      <c r="I8" s="2"/>
      <c r="J8" s="2"/>
      <c r="K8" s="2"/>
      <c r="L8" s="2"/>
      <c r="M8" s="2">
        <v>1</v>
      </c>
      <c r="N8" s="49" t="s">
        <v>18</v>
      </c>
      <c r="O8" s="2">
        <v>1</v>
      </c>
      <c r="P8" s="3" t="s">
        <v>27</v>
      </c>
      <c r="Q8" s="4">
        <f t="shared" si="0"/>
        <v>339.38</v>
      </c>
      <c r="R8" s="4">
        <f t="shared" si="1"/>
        <v>339.38</v>
      </c>
    </row>
    <row r="9" spans="1:18" ht="15" customHeight="1" x14ac:dyDescent="0.15">
      <c r="A9" s="3" t="s">
        <v>82</v>
      </c>
      <c r="B9" s="2">
        <v>264</v>
      </c>
      <c r="C9" s="2">
        <v>123</v>
      </c>
      <c r="D9" s="2">
        <v>123</v>
      </c>
      <c r="E9" s="2">
        <v>100</v>
      </c>
      <c r="F9" s="2">
        <v>162</v>
      </c>
      <c r="G9" s="2"/>
      <c r="H9" s="2">
        <v>92</v>
      </c>
      <c r="I9" s="2"/>
      <c r="J9" s="2"/>
      <c r="K9" s="2"/>
      <c r="L9" s="2">
        <v>1</v>
      </c>
      <c r="M9" s="2"/>
      <c r="N9" s="50" t="s">
        <v>18</v>
      </c>
      <c r="O9" s="2">
        <v>1</v>
      </c>
      <c r="P9" s="3" t="s">
        <v>88</v>
      </c>
      <c r="Q9" s="4">
        <f t="shared" si="0"/>
        <v>317.98</v>
      </c>
      <c r="R9" s="4">
        <f t="shared" si="1"/>
        <v>317.98</v>
      </c>
    </row>
    <row r="10" spans="1:18" ht="15" customHeight="1" x14ac:dyDescent="0.15">
      <c r="A10" s="3" t="s">
        <v>252</v>
      </c>
      <c r="B10" s="2">
        <v>251</v>
      </c>
      <c r="C10" s="2">
        <v>109</v>
      </c>
      <c r="D10" s="2">
        <v>109</v>
      </c>
      <c r="E10" s="2"/>
      <c r="F10" s="2">
        <v>139</v>
      </c>
      <c r="G10" s="2">
        <v>72</v>
      </c>
      <c r="H10" s="2">
        <v>96</v>
      </c>
      <c r="I10" s="2"/>
      <c r="J10" s="2"/>
      <c r="K10" s="2"/>
      <c r="L10" s="2"/>
      <c r="M10" s="2">
        <v>1</v>
      </c>
      <c r="N10" s="49" t="s">
        <v>84</v>
      </c>
      <c r="O10" s="2">
        <v>1</v>
      </c>
      <c r="P10" s="3" t="s">
        <v>89</v>
      </c>
      <c r="Q10" s="4">
        <f t="shared" si="0"/>
        <v>306.5</v>
      </c>
      <c r="R10" s="4">
        <f t="shared" si="1"/>
        <v>306.5</v>
      </c>
    </row>
    <row r="11" spans="1:18" ht="15" customHeight="1" x14ac:dyDescent="0.15">
      <c r="A11" s="3" t="s">
        <v>253</v>
      </c>
      <c r="B11" s="2">
        <v>251</v>
      </c>
      <c r="C11" s="2">
        <v>109</v>
      </c>
      <c r="D11" s="2">
        <v>109</v>
      </c>
      <c r="E11" s="2">
        <v>80</v>
      </c>
      <c r="F11" s="2">
        <v>140</v>
      </c>
      <c r="G11" s="2"/>
      <c r="H11" s="2">
        <v>88</v>
      </c>
      <c r="I11" s="2"/>
      <c r="J11" s="2"/>
      <c r="K11" s="2"/>
      <c r="L11" s="2"/>
      <c r="M11" s="2">
        <v>1</v>
      </c>
      <c r="N11" s="50" t="s">
        <v>84</v>
      </c>
      <c r="O11" s="2">
        <v>1</v>
      </c>
      <c r="P11" s="3" t="s">
        <v>90</v>
      </c>
      <c r="Q11" s="4">
        <f t="shared" si="0"/>
        <v>278.06</v>
      </c>
      <c r="R11" s="4">
        <f t="shared" si="1"/>
        <v>278.06</v>
      </c>
    </row>
    <row r="12" spans="1:18" ht="15" customHeight="1" x14ac:dyDescent="0.15">
      <c r="A12" s="3" t="s">
        <v>87</v>
      </c>
      <c r="B12" s="2">
        <v>251</v>
      </c>
      <c r="C12" s="2">
        <v>109</v>
      </c>
      <c r="D12" s="2">
        <v>109</v>
      </c>
      <c r="E12" s="2"/>
      <c r="F12" s="2">
        <v>140</v>
      </c>
      <c r="G12" s="2">
        <v>96</v>
      </c>
      <c r="H12" s="2">
        <v>72</v>
      </c>
      <c r="I12" s="2"/>
      <c r="J12" s="2"/>
      <c r="K12" s="2"/>
      <c r="L12" s="2"/>
      <c r="M12" s="2">
        <v>1</v>
      </c>
      <c r="N12" s="49" t="s">
        <v>18</v>
      </c>
      <c r="O12" s="2">
        <v>1</v>
      </c>
      <c r="P12" s="3" t="s">
        <v>76</v>
      </c>
      <c r="Q12" s="4">
        <f t="shared" si="0"/>
        <v>312.77999999999997</v>
      </c>
      <c r="R12" s="4">
        <f t="shared" si="1"/>
        <v>312.77999999999997</v>
      </c>
    </row>
    <row r="13" spans="1:18" ht="15" customHeight="1" x14ac:dyDescent="0.15">
      <c r="A13" s="3" t="s">
        <v>254</v>
      </c>
      <c r="B13" s="2">
        <v>251</v>
      </c>
      <c r="C13" s="2">
        <v>109</v>
      </c>
      <c r="D13" s="2">
        <v>109</v>
      </c>
      <c r="E13" s="2">
        <v>88</v>
      </c>
      <c r="F13" s="2">
        <v>149</v>
      </c>
      <c r="G13" s="2">
        <v>72</v>
      </c>
      <c r="H13" s="2"/>
      <c r="I13" s="2"/>
      <c r="J13" s="2"/>
      <c r="K13" s="2"/>
      <c r="L13" s="2"/>
      <c r="M13" s="2">
        <v>1</v>
      </c>
      <c r="N13" s="50" t="s">
        <v>18</v>
      </c>
      <c r="O13" s="2">
        <v>1</v>
      </c>
      <c r="P13" s="3" t="s">
        <v>36</v>
      </c>
      <c r="Q13" s="4">
        <f t="shared" si="0"/>
        <v>295.45999999999998</v>
      </c>
      <c r="R13" s="4">
        <f t="shared" si="1"/>
        <v>295.45999999999998</v>
      </c>
    </row>
    <row r="14" spans="1:18" ht="15" customHeight="1" x14ac:dyDescent="0.15">
      <c r="A14" s="3" t="s">
        <v>867</v>
      </c>
      <c r="B14" s="2">
        <v>270</v>
      </c>
      <c r="C14" s="2">
        <v>195</v>
      </c>
      <c r="D14" s="2">
        <v>87</v>
      </c>
      <c r="E14" s="2"/>
      <c r="F14" s="2">
        <v>182</v>
      </c>
      <c r="G14" s="2"/>
      <c r="H14" s="2">
        <v>98</v>
      </c>
      <c r="I14" s="2"/>
      <c r="J14" s="2"/>
      <c r="K14" s="2">
        <v>1</v>
      </c>
      <c r="L14" s="2"/>
      <c r="M14" s="2"/>
      <c r="N14" s="69" t="s">
        <v>869</v>
      </c>
      <c r="O14" s="2">
        <v>1</v>
      </c>
      <c r="P14" s="3" t="s">
        <v>846</v>
      </c>
      <c r="Q14" s="4">
        <f t="shared" ref="Q14:Q21" si="2">D14*0.22+E14*0.59+F14*1+G14*0.98+H14*0.76</f>
        <v>275.62</v>
      </c>
      <c r="R14" s="4">
        <f t="shared" ref="R14:R21" si="3">Q14+I14*1.88</f>
        <v>275.62</v>
      </c>
    </row>
    <row r="15" spans="1:18" ht="15" customHeight="1" x14ac:dyDescent="0.15">
      <c r="A15" s="3" t="s">
        <v>868</v>
      </c>
      <c r="B15" s="2">
        <v>270</v>
      </c>
      <c r="C15" s="2">
        <v>195</v>
      </c>
      <c r="D15" s="2">
        <v>87</v>
      </c>
      <c r="E15" s="2">
        <v>98</v>
      </c>
      <c r="F15" s="2">
        <v>182</v>
      </c>
      <c r="G15" s="2"/>
      <c r="H15" s="2"/>
      <c r="I15" s="2"/>
      <c r="J15" s="2"/>
      <c r="K15" s="2">
        <v>1</v>
      </c>
      <c r="L15" s="2"/>
      <c r="M15" s="2"/>
      <c r="N15" s="69" t="s">
        <v>869</v>
      </c>
      <c r="O15" s="2">
        <v>1</v>
      </c>
      <c r="P15" s="3" t="s">
        <v>846</v>
      </c>
      <c r="Q15" s="4">
        <f t="shared" si="2"/>
        <v>258.96000000000004</v>
      </c>
      <c r="R15" s="4">
        <f t="shared" si="3"/>
        <v>258.96000000000004</v>
      </c>
    </row>
    <row r="16" spans="1:18" ht="15" customHeight="1" x14ac:dyDescent="0.15">
      <c r="A16" s="3" t="s">
        <v>871</v>
      </c>
      <c r="B16" s="2">
        <v>258</v>
      </c>
      <c r="C16" s="2">
        <v>116</v>
      </c>
      <c r="D16" s="2">
        <v>116</v>
      </c>
      <c r="E16" s="2">
        <v>86</v>
      </c>
      <c r="F16" s="2">
        <v>151</v>
      </c>
      <c r="G16" s="2"/>
      <c r="H16" s="2"/>
      <c r="I16" s="2">
        <v>94</v>
      </c>
      <c r="J16" s="2"/>
      <c r="K16" s="2"/>
      <c r="L16" s="2"/>
      <c r="M16" s="2">
        <v>1</v>
      </c>
      <c r="N16" s="50" t="s">
        <v>18</v>
      </c>
      <c r="O16" s="2">
        <v>1</v>
      </c>
      <c r="P16" s="3" t="s">
        <v>850</v>
      </c>
      <c r="Q16" s="4">
        <f t="shared" si="2"/>
        <v>227.26</v>
      </c>
      <c r="R16" s="4">
        <f t="shared" si="3"/>
        <v>403.98</v>
      </c>
    </row>
    <row r="17" spans="1:18" ht="15" customHeight="1" x14ac:dyDescent="0.15">
      <c r="A17" s="3" t="s">
        <v>870</v>
      </c>
      <c r="B17" s="2">
        <v>245</v>
      </c>
      <c r="C17" s="2">
        <v>103</v>
      </c>
      <c r="D17" s="2">
        <v>103</v>
      </c>
      <c r="E17" s="2">
        <v>74</v>
      </c>
      <c r="F17" s="2">
        <v>131</v>
      </c>
      <c r="G17" s="2"/>
      <c r="H17" s="2"/>
      <c r="I17" s="2">
        <v>82</v>
      </c>
      <c r="J17" s="2"/>
      <c r="K17" s="2"/>
      <c r="L17" s="2"/>
      <c r="M17" s="2">
        <v>1</v>
      </c>
      <c r="N17" s="50" t="s">
        <v>18</v>
      </c>
      <c r="O17" s="2">
        <v>1</v>
      </c>
      <c r="P17" s="3" t="s">
        <v>850</v>
      </c>
      <c r="Q17" s="4">
        <f t="shared" si="2"/>
        <v>197.32</v>
      </c>
      <c r="R17" s="4">
        <f t="shared" si="3"/>
        <v>351.48</v>
      </c>
    </row>
    <row r="18" spans="1:18" ht="15" customHeight="1" x14ac:dyDescent="0.15">
      <c r="A18" s="3" t="s">
        <v>872</v>
      </c>
      <c r="B18" s="2">
        <v>245</v>
      </c>
      <c r="C18" s="2">
        <v>106</v>
      </c>
      <c r="D18" s="2">
        <v>74</v>
      </c>
      <c r="E18" s="2"/>
      <c r="F18" s="2">
        <v>150</v>
      </c>
      <c r="G18" s="2">
        <v>76</v>
      </c>
      <c r="H18" s="2">
        <v>86</v>
      </c>
      <c r="I18" s="2"/>
      <c r="J18" s="2"/>
      <c r="K18" s="2"/>
      <c r="L18" s="2"/>
      <c r="M18" s="2">
        <v>1</v>
      </c>
      <c r="N18" s="50" t="s">
        <v>18</v>
      </c>
      <c r="O18" s="2">
        <v>1</v>
      </c>
      <c r="P18" s="3" t="s">
        <v>873</v>
      </c>
      <c r="Q18" s="4">
        <f t="shared" si="2"/>
        <v>306.12</v>
      </c>
      <c r="R18" s="4">
        <f t="shared" si="3"/>
        <v>306.12</v>
      </c>
    </row>
    <row r="19" spans="1:18" ht="15" customHeight="1" x14ac:dyDescent="0.15">
      <c r="A19" s="3" t="s">
        <v>874</v>
      </c>
      <c r="B19" s="2">
        <v>245</v>
      </c>
      <c r="C19" s="2">
        <v>99</v>
      </c>
      <c r="D19" s="2">
        <v>80</v>
      </c>
      <c r="E19" s="2">
        <v>89</v>
      </c>
      <c r="F19" s="2">
        <v>150</v>
      </c>
      <c r="G19" s="2"/>
      <c r="H19" s="2">
        <v>75</v>
      </c>
      <c r="I19" s="2"/>
      <c r="J19" s="2"/>
      <c r="K19" s="2">
        <v>1</v>
      </c>
      <c r="L19" s="2"/>
      <c r="M19" s="2"/>
      <c r="N19" s="69" t="s">
        <v>875</v>
      </c>
      <c r="O19" s="2">
        <v>1</v>
      </c>
      <c r="P19" s="3" t="s">
        <v>873</v>
      </c>
      <c r="Q19" s="4">
        <f t="shared" si="2"/>
        <v>277.11</v>
      </c>
      <c r="R19" s="4">
        <f t="shared" si="3"/>
        <v>277.11</v>
      </c>
    </row>
    <row r="20" spans="1:18" ht="15" customHeight="1" x14ac:dyDescent="0.15">
      <c r="A20" s="3" t="s">
        <v>876</v>
      </c>
      <c r="B20" s="2">
        <v>245</v>
      </c>
      <c r="C20" s="2">
        <v>103</v>
      </c>
      <c r="D20" s="2">
        <v>103</v>
      </c>
      <c r="E20" s="2">
        <v>90</v>
      </c>
      <c r="F20" s="2">
        <v>131</v>
      </c>
      <c r="G20" s="2"/>
      <c r="H20" s="2">
        <v>66</v>
      </c>
      <c r="I20" s="2"/>
      <c r="J20" s="2"/>
      <c r="K20" s="2"/>
      <c r="L20" s="2">
        <v>1</v>
      </c>
      <c r="M20" s="2"/>
      <c r="N20" s="50" t="s">
        <v>18</v>
      </c>
      <c r="O20" s="2">
        <v>1</v>
      </c>
      <c r="P20" s="3" t="s">
        <v>877</v>
      </c>
      <c r="Q20" s="4">
        <f t="shared" si="2"/>
        <v>256.92</v>
      </c>
      <c r="R20" s="4">
        <f t="shared" si="3"/>
        <v>256.92</v>
      </c>
    </row>
    <row r="21" spans="1:18" ht="15" customHeight="1" x14ac:dyDescent="0.15">
      <c r="A21" s="3" t="s">
        <v>878</v>
      </c>
      <c r="B21" s="2">
        <v>245</v>
      </c>
      <c r="C21" s="2">
        <v>103</v>
      </c>
      <c r="D21" s="2">
        <v>103</v>
      </c>
      <c r="E21" s="2"/>
      <c r="F21" s="2">
        <v>131</v>
      </c>
      <c r="G21" s="2">
        <v>82</v>
      </c>
      <c r="H21" s="2"/>
      <c r="I21" s="2">
        <v>74</v>
      </c>
      <c r="J21" s="2"/>
      <c r="K21" s="2"/>
      <c r="L21" s="2"/>
      <c r="M21" s="2">
        <v>1</v>
      </c>
      <c r="N21" s="50" t="s">
        <v>18</v>
      </c>
      <c r="O21" s="2">
        <v>1</v>
      </c>
      <c r="P21" s="3" t="s">
        <v>877</v>
      </c>
      <c r="Q21" s="4">
        <f t="shared" si="2"/>
        <v>234.01999999999998</v>
      </c>
      <c r="R21" s="4">
        <f t="shared" si="3"/>
        <v>373.14</v>
      </c>
    </row>
    <row r="22" spans="1:18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3"/>
      <c r="P22" s="3"/>
    </row>
    <row r="23" spans="1:18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3"/>
      <c r="P23" s="3"/>
    </row>
    <row r="24" spans="1:18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3"/>
      <c r="P24" s="3"/>
    </row>
    <row r="25" spans="1:18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3"/>
      <c r="P25" s="3"/>
    </row>
    <row r="26" spans="1:18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3"/>
      <c r="P26" s="3"/>
    </row>
    <row r="27" spans="1:18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</row>
    <row r="28" spans="1:18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3"/>
      <c r="P28" s="3"/>
    </row>
    <row r="29" spans="1:18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3"/>
      <c r="P29" s="3"/>
    </row>
    <row r="30" spans="1:18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3"/>
      <c r="P30" s="3"/>
    </row>
    <row r="31" spans="1:18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3"/>
      <c r="P31" s="3"/>
    </row>
    <row r="32" spans="1:18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3"/>
      <c r="P32" s="3"/>
    </row>
    <row r="33" spans="1:16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3"/>
      <c r="P33" s="3"/>
    </row>
    <row r="34" spans="1:16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3"/>
      <c r="P34" s="1"/>
    </row>
    <row r="35" spans="1:16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3"/>
      <c r="P35" s="1"/>
    </row>
    <row r="36" spans="1:16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3"/>
      <c r="P36" s="1"/>
    </row>
    <row r="37" spans="1:16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3"/>
      <c r="P37" s="1"/>
    </row>
    <row r="38" spans="1:16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3"/>
      <c r="P38" s="1"/>
    </row>
    <row r="39" spans="1:16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3"/>
      <c r="P39" s="1"/>
    </row>
    <row r="40" spans="1:16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3"/>
      <c r="P40" s="1"/>
    </row>
    <row r="41" spans="1:16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3"/>
      <c r="P41" s="1"/>
    </row>
    <row r="42" spans="1:16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3"/>
      <c r="P42" s="1"/>
    </row>
    <row r="43" spans="1:16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3"/>
      <c r="P43" s="1"/>
    </row>
    <row r="44" spans="1:16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3"/>
      <c r="P44" s="1"/>
    </row>
    <row r="45" spans="1:16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3"/>
      <c r="P45" s="3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43"/>
  <sheetViews>
    <sheetView workbookViewId="0">
      <selection activeCell="A23" sqref="A23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296</v>
      </c>
      <c r="B2" s="2">
        <v>277</v>
      </c>
      <c r="C2" s="2">
        <v>78</v>
      </c>
      <c r="D2" s="2">
        <v>78</v>
      </c>
      <c r="E2" s="2"/>
      <c r="F2" s="2">
        <v>110</v>
      </c>
      <c r="G2" s="2">
        <v>60</v>
      </c>
      <c r="H2" s="2">
        <v>65</v>
      </c>
      <c r="I2" s="2"/>
      <c r="J2" s="2"/>
      <c r="K2" s="2"/>
      <c r="L2" s="2"/>
      <c r="M2" s="2">
        <v>1</v>
      </c>
      <c r="N2" s="3" t="s">
        <v>38</v>
      </c>
      <c r="O2" s="3" t="s">
        <v>21</v>
      </c>
      <c r="P2" s="4">
        <f t="shared" ref="P2:P15" si="0">D2*0.22+E2*0.59+F2*1+G2*0.98+H2*0.76</f>
        <v>235.35999999999999</v>
      </c>
      <c r="Q2" s="4">
        <f t="shared" ref="Q2:Q15" si="1">P2+I2*1.88</f>
        <v>235.35999999999999</v>
      </c>
      <c r="R2" s="4"/>
      <c r="S2" s="4"/>
    </row>
    <row r="3" spans="1:19" ht="15" customHeight="1" x14ac:dyDescent="0.15">
      <c r="A3" s="1" t="s">
        <v>297</v>
      </c>
      <c r="B3" s="2">
        <v>277</v>
      </c>
      <c r="C3" s="2">
        <v>78</v>
      </c>
      <c r="D3" s="2">
        <v>78</v>
      </c>
      <c r="E3" s="2"/>
      <c r="F3" s="2">
        <v>110</v>
      </c>
      <c r="G3" s="2"/>
      <c r="H3" s="2">
        <v>60</v>
      </c>
      <c r="I3" s="2"/>
      <c r="J3" s="2">
        <v>34</v>
      </c>
      <c r="K3" s="2"/>
      <c r="L3" s="2">
        <v>1</v>
      </c>
      <c r="M3" s="2"/>
      <c r="N3" s="3" t="s">
        <v>38</v>
      </c>
      <c r="O3" s="3" t="s">
        <v>93</v>
      </c>
      <c r="P3" s="4">
        <f t="shared" si="0"/>
        <v>172.76</v>
      </c>
      <c r="Q3" s="4">
        <f t="shared" si="1"/>
        <v>172.76</v>
      </c>
      <c r="R3" s="4"/>
      <c r="S3" s="4"/>
    </row>
    <row r="4" spans="1:19" ht="15" customHeight="1" x14ac:dyDescent="0.15">
      <c r="A4" s="1" t="s">
        <v>298</v>
      </c>
      <c r="B4" s="2">
        <v>277</v>
      </c>
      <c r="C4" s="2">
        <v>78</v>
      </c>
      <c r="D4" s="2">
        <v>78</v>
      </c>
      <c r="E4" s="2"/>
      <c r="F4" s="2">
        <v>110</v>
      </c>
      <c r="G4" s="2">
        <v>68</v>
      </c>
      <c r="H4" s="2"/>
      <c r="I4" s="2">
        <v>60</v>
      </c>
      <c r="J4" s="2"/>
      <c r="K4" s="2"/>
      <c r="L4" s="2">
        <v>1</v>
      </c>
      <c r="M4" s="2"/>
      <c r="N4" s="3" t="s">
        <v>38</v>
      </c>
      <c r="O4" s="3" t="s">
        <v>83</v>
      </c>
      <c r="P4" s="4">
        <f t="shared" si="0"/>
        <v>193.8</v>
      </c>
      <c r="Q4" s="4">
        <f t="shared" si="1"/>
        <v>306.60000000000002</v>
      </c>
      <c r="R4" s="4"/>
      <c r="S4" s="4"/>
    </row>
    <row r="5" spans="1:19" ht="15" customHeight="1" x14ac:dyDescent="0.15">
      <c r="A5" s="1" t="s">
        <v>299</v>
      </c>
      <c r="B5" s="2">
        <v>277</v>
      </c>
      <c r="C5" s="2">
        <v>78</v>
      </c>
      <c r="D5" s="2">
        <v>78</v>
      </c>
      <c r="E5" s="2">
        <v>68</v>
      </c>
      <c r="F5" s="2">
        <v>110</v>
      </c>
      <c r="G5" s="2">
        <v>60</v>
      </c>
      <c r="H5" s="2"/>
      <c r="I5" s="2"/>
      <c r="J5" s="2"/>
      <c r="K5" s="2"/>
      <c r="L5" s="2"/>
      <c r="M5" s="2">
        <v>1</v>
      </c>
      <c r="N5" s="3" t="s">
        <v>38</v>
      </c>
      <c r="O5" s="3" t="s">
        <v>41</v>
      </c>
      <c r="P5" s="4">
        <f t="shared" si="0"/>
        <v>226.07999999999998</v>
      </c>
      <c r="Q5" s="4">
        <f t="shared" si="1"/>
        <v>226.07999999999998</v>
      </c>
      <c r="R5" s="4"/>
      <c r="S5" s="4"/>
    </row>
    <row r="6" spans="1:19" ht="15" customHeight="1" x14ac:dyDescent="0.15">
      <c r="A6" s="1" t="s">
        <v>300</v>
      </c>
      <c r="B6" s="2">
        <v>264</v>
      </c>
      <c r="C6" s="2">
        <v>71</v>
      </c>
      <c r="D6" s="2">
        <v>68</v>
      </c>
      <c r="E6" s="2"/>
      <c r="F6" s="2">
        <v>97</v>
      </c>
      <c r="G6" s="2"/>
      <c r="H6" s="2">
        <v>60</v>
      </c>
      <c r="I6" s="2">
        <v>52</v>
      </c>
      <c r="J6" s="2"/>
      <c r="K6" s="2"/>
      <c r="L6" s="2"/>
      <c r="M6" s="2">
        <v>1</v>
      </c>
      <c r="N6" s="3" t="s">
        <v>38</v>
      </c>
      <c r="O6" s="3" t="s">
        <v>97</v>
      </c>
      <c r="P6" s="4">
        <f t="shared" si="0"/>
        <v>157.56</v>
      </c>
      <c r="Q6" s="4">
        <f t="shared" si="1"/>
        <v>255.32</v>
      </c>
      <c r="R6" s="4"/>
      <c r="S6" s="4"/>
    </row>
    <row r="7" spans="1:19" ht="15" customHeight="1" x14ac:dyDescent="0.15">
      <c r="A7" s="1" t="s">
        <v>301</v>
      </c>
      <c r="B7" s="2">
        <v>264</v>
      </c>
      <c r="C7" s="2">
        <v>71</v>
      </c>
      <c r="D7" s="2">
        <v>68</v>
      </c>
      <c r="E7" s="2"/>
      <c r="F7" s="2">
        <v>97</v>
      </c>
      <c r="G7" s="2">
        <v>60</v>
      </c>
      <c r="H7" s="2"/>
      <c r="I7" s="2"/>
      <c r="J7" s="2">
        <v>26</v>
      </c>
      <c r="K7" s="2"/>
      <c r="L7" s="2"/>
      <c r="M7" s="2">
        <v>1</v>
      </c>
      <c r="N7" s="3" t="s">
        <v>38</v>
      </c>
      <c r="O7" s="3" t="s">
        <v>48</v>
      </c>
      <c r="P7" s="4">
        <f t="shared" si="0"/>
        <v>170.76</v>
      </c>
      <c r="Q7" s="4">
        <f t="shared" si="1"/>
        <v>170.76</v>
      </c>
      <c r="R7" s="4"/>
      <c r="S7" s="4"/>
    </row>
    <row r="8" spans="1:19" ht="15" customHeight="1" x14ac:dyDescent="0.15">
      <c r="A8" s="1" t="s">
        <v>302</v>
      </c>
      <c r="B8" s="2">
        <v>264</v>
      </c>
      <c r="C8" s="2">
        <v>69</v>
      </c>
      <c r="D8" s="2">
        <v>69</v>
      </c>
      <c r="E8" s="2"/>
      <c r="F8" s="2">
        <v>97</v>
      </c>
      <c r="G8" s="2">
        <v>49</v>
      </c>
      <c r="H8" s="2">
        <v>62</v>
      </c>
      <c r="I8" s="2"/>
      <c r="J8" s="2"/>
      <c r="K8" s="2"/>
      <c r="L8" s="2">
        <v>1</v>
      </c>
      <c r="M8" s="2"/>
      <c r="N8" s="3" t="s">
        <v>38</v>
      </c>
      <c r="O8" s="1" t="s">
        <v>27</v>
      </c>
      <c r="P8" s="4">
        <f t="shared" si="0"/>
        <v>207.32</v>
      </c>
      <c r="Q8" s="4">
        <f t="shared" si="1"/>
        <v>207.32</v>
      </c>
      <c r="R8" s="4"/>
      <c r="S8" s="4"/>
    </row>
    <row r="9" spans="1:19" ht="15" customHeight="1" x14ac:dyDescent="0.15">
      <c r="A9" s="1" t="s">
        <v>91</v>
      </c>
      <c r="B9" s="2">
        <v>264</v>
      </c>
      <c r="C9" s="2">
        <v>69</v>
      </c>
      <c r="D9" s="2">
        <v>69</v>
      </c>
      <c r="E9" s="2"/>
      <c r="F9" s="2">
        <v>97</v>
      </c>
      <c r="G9" s="2">
        <v>53</v>
      </c>
      <c r="H9" s="2">
        <v>57</v>
      </c>
      <c r="I9" s="2"/>
      <c r="J9" s="2"/>
      <c r="K9" s="2"/>
      <c r="L9" s="2">
        <v>1</v>
      </c>
      <c r="M9" s="2"/>
      <c r="N9" s="3" t="s">
        <v>38</v>
      </c>
      <c r="O9" s="3" t="s">
        <v>31</v>
      </c>
      <c r="P9" s="4">
        <f t="shared" si="0"/>
        <v>207.44</v>
      </c>
      <c r="Q9" s="4">
        <f t="shared" si="1"/>
        <v>207.44</v>
      </c>
      <c r="R9" s="4"/>
      <c r="S9" s="4"/>
    </row>
    <row r="10" spans="1:19" ht="15" customHeight="1" x14ac:dyDescent="0.15">
      <c r="A10" s="1" t="s">
        <v>92</v>
      </c>
      <c r="B10" s="2">
        <v>264</v>
      </c>
      <c r="C10" s="2">
        <v>69</v>
      </c>
      <c r="D10" s="2">
        <v>69</v>
      </c>
      <c r="E10" s="2"/>
      <c r="F10" s="2">
        <v>97</v>
      </c>
      <c r="G10" s="2"/>
      <c r="H10" s="2">
        <v>52</v>
      </c>
      <c r="I10" s="2"/>
      <c r="J10" s="2">
        <v>30</v>
      </c>
      <c r="K10" s="2"/>
      <c r="L10" s="2">
        <v>1</v>
      </c>
      <c r="M10" s="2"/>
      <c r="N10" s="3" t="s">
        <v>38</v>
      </c>
      <c r="O10" s="3" t="s">
        <v>100</v>
      </c>
      <c r="P10" s="4">
        <f>D10*0.22+E10*0.59+F10*1+G10*0.98+H10*0.76</f>
        <v>151.70000000000002</v>
      </c>
      <c r="Q10" s="4">
        <f>P10+I10*1.88</f>
        <v>151.70000000000002</v>
      </c>
      <c r="R10" s="4"/>
      <c r="S10" s="4"/>
    </row>
    <row r="11" spans="1:19" ht="15" customHeight="1" x14ac:dyDescent="0.15">
      <c r="A11" s="1" t="s">
        <v>94</v>
      </c>
      <c r="B11" s="2">
        <v>264</v>
      </c>
      <c r="C11" s="2">
        <v>69</v>
      </c>
      <c r="D11" s="2">
        <v>69</v>
      </c>
      <c r="E11" s="2"/>
      <c r="F11" s="2">
        <v>97</v>
      </c>
      <c r="G11" s="2">
        <v>60</v>
      </c>
      <c r="H11" s="2"/>
      <c r="I11" s="2">
        <v>52</v>
      </c>
      <c r="J11" s="2"/>
      <c r="K11" s="2"/>
      <c r="L11" s="2">
        <v>1</v>
      </c>
      <c r="M11" s="2"/>
      <c r="N11" s="3" t="s">
        <v>38</v>
      </c>
      <c r="O11" s="3" t="s">
        <v>88</v>
      </c>
      <c r="P11" s="4">
        <f>D11*0.22+E11*0.59+F11*1+G11*0.98+H11*0.76</f>
        <v>170.98000000000002</v>
      </c>
      <c r="Q11" s="4">
        <f>P11+I11*1.88</f>
        <v>268.74</v>
      </c>
      <c r="R11" s="4"/>
      <c r="S11" s="4"/>
    </row>
    <row r="12" spans="1:19" ht="15" customHeight="1" x14ac:dyDescent="0.15">
      <c r="A12" s="1" t="s">
        <v>95</v>
      </c>
      <c r="B12" s="2">
        <v>264</v>
      </c>
      <c r="C12" s="2">
        <v>69</v>
      </c>
      <c r="D12" s="2">
        <v>69</v>
      </c>
      <c r="E12" s="2">
        <v>60</v>
      </c>
      <c r="F12" s="2">
        <v>97</v>
      </c>
      <c r="G12" s="2">
        <v>52</v>
      </c>
      <c r="H12" s="2"/>
      <c r="I12" s="2"/>
      <c r="J12" s="2"/>
      <c r="K12" s="2"/>
      <c r="L12" s="2"/>
      <c r="M12" s="2">
        <v>1</v>
      </c>
      <c r="N12" s="3" t="s">
        <v>38</v>
      </c>
      <c r="O12" s="3" t="s">
        <v>53</v>
      </c>
      <c r="P12" s="4">
        <f>D12*0.22+E12*0.59+F12*1+G12*0.98+H12*0.76</f>
        <v>198.54</v>
      </c>
      <c r="Q12" s="4">
        <f>P12+I12*1.88</f>
        <v>198.54</v>
      </c>
      <c r="R12" s="4"/>
      <c r="S12" s="4"/>
    </row>
    <row r="13" spans="1:19" ht="15" customHeight="1" x14ac:dyDescent="0.15">
      <c r="A13" s="1" t="s">
        <v>96</v>
      </c>
      <c r="B13" s="2">
        <v>251</v>
      </c>
      <c r="C13" s="2">
        <v>63</v>
      </c>
      <c r="D13" s="2">
        <v>60</v>
      </c>
      <c r="E13" s="2"/>
      <c r="F13" s="2">
        <v>85</v>
      </c>
      <c r="G13" s="2"/>
      <c r="H13" s="2">
        <v>53</v>
      </c>
      <c r="I13" s="2">
        <v>45</v>
      </c>
      <c r="J13" s="2"/>
      <c r="K13" s="2"/>
      <c r="L13" s="2"/>
      <c r="M13" s="2">
        <v>1</v>
      </c>
      <c r="N13" s="3" t="s">
        <v>38</v>
      </c>
      <c r="O13" s="3" t="s">
        <v>101</v>
      </c>
      <c r="P13" s="4">
        <f t="shared" si="0"/>
        <v>138.48000000000002</v>
      </c>
      <c r="Q13" s="4">
        <f t="shared" si="1"/>
        <v>223.08</v>
      </c>
      <c r="R13" s="4"/>
      <c r="S13" s="4"/>
    </row>
    <row r="14" spans="1:19" ht="15" customHeight="1" x14ac:dyDescent="0.15">
      <c r="A14" s="1" t="s">
        <v>98</v>
      </c>
      <c r="B14" s="2">
        <v>251</v>
      </c>
      <c r="C14" s="2">
        <v>63</v>
      </c>
      <c r="D14" s="2">
        <v>60</v>
      </c>
      <c r="E14" s="2"/>
      <c r="F14" s="2">
        <v>85</v>
      </c>
      <c r="G14" s="2">
        <v>53</v>
      </c>
      <c r="H14" s="2"/>
      <c r="I14" s="2"/>
      <c r="J14" s="2">
        <v>23</v>
      </c>
      <c r="K14" s="2"/>
      <c r="L14" s="2"/>
      <c r="M14" s="2">
        <v>1</v>
      </c>
      <c r="N14" s="3" t="s">
        <v>38</v>
      </c>
      <c r="O14" s="3" t="s">
        <v>56</v>
      </c>
      <c r="P14" s="4">
        <f t="shared" si="0"/>
        <v>150.13999999999999</v>
      </c>
      <c r="Q14" s="4">
        <f t="shared" si="1"/>
        <v>150.13999999999999</v>
      </c>
      <c r="R14" s="4"/>
      <c r="S14" s="4"/>
    </row>
    <row r="15" spans="1:19" ht="15" customHeight="1" x14ac:dyDescent="0.15">
      <c r="A15" s="1" t="s">
        <v>99</v>
      </c>
      <c r="B15" s="2">
        <v>251</v>
      </c>
      <c r="C15" s="2">
        <v>61</v>
      </c>
      <c r="D15" s="2">
        <v>61</v>
      </c>
      <c r="E15" s="2"/>
      <c r="F15" s="2">
        <v>85</v>
      </c>
      <c r="G15" s="2">
        <v>43</v>
      </c>
      <c r="H15" s="2">
        <v>55</v>
      </c>
      <c r="I15" s="2"/>
      <c r="J15" s="2"/>
      <c r="K15" s="2"/>
      <c r="L15" s="2">
        <v>1</v>
      </c>
      <c r="M15" s="2"/>
      <c r="N15" s="3" t="s">
        <v>38</v>
      </c>
      <c r="O15" s="1" t="s">
        <v>36</v>
      </c>
      <c r="P15" s="4">
        <f t="shared" si="0"/>
        <v>182.36</v>
      </c>
      <c r="Q15" s="4">
        <f t="shared" si="1"/>
        <v>182.36</v>
      </c>
      <c r="R15" s="4"/>
      <c r="S15" s="4"/>
    </row>
    <row r="16" spans="1:19" ht="15" customHeight="1" x14ac:dyDescent="0.15">
      <c r="A16" s="62" t="s">
        <v>854</v>
      </c>
      <c r="B16" s="11">
        <v>264</v>
      </c>
      <c r="C16" s="11">
        <v>103</v>
      </c>
      <c r="D16" s="11">
        <v>46</v>
      </c>
      <c r="E16" s="11"/>
      <c r="F16" s="11">
        <v>106</v>
      </c>
      <c r="G16" s="11"/>
      <c r="H16" s="11"/>
      <c r="I16" s="11"/>
      <c r="J16" s="11">
        <v>30</v>
      </c>
      <c r="K16" s="11"/>
      <c r="L16" s="11"/>
      <c r="M16" s="11"/>
      <c r="N16" s="63"/>
      <c r="O16" s="63" t="s">
        <v>858</v>
      </c>
      <c r="P16" s="64">
        <f t="shared" ref="P16:P23" si="2">D16*0.22+E16*0.59+F16*1+G16*0.98+H16*0.76</f>
        <v>116.12</v>
      </c>
      <c r="Q16" s="64">
        <f t="shared" ref="Q16:Q23" si="3">P16+I16*1.88</f>
        <v>116.12</v>
      </c>
      <c r="R16" s="4"/>
      <c r="S16" s="4"/>
    </row>
    <row r="17" spans="1:19" ht="15" customHeight="1" x14ac:dyDescent="0.15">
      <c r="A17" s="62" t="s">
        <v>855</v>
      </c>
      <c r="B17" s="11">
        <v>264</v>
      </c>
      <c r="C17" s="11">
        <v>103</v>
      </c>
      <c r="D17" s="11">
        <v>46</v>
      </c>
      <c r="E17" s="11"/>
      <c r="F17" s="11">
        <v>106</v>
      </c>
      <c r="G17" s="11"/>
      <c r="H17" s="11"/>
      <c r="I17" s="11">
        <v>60</v>
      </c>
      <c r="J17" s="11"/>
      <c r="K17" s="11"/>
      <c r="L17" s="11"/>
      <c r="M17" s="11"/>
      <c r="N17" s="63"/>
      <c r="O17" s="63" t="s">
        <v>858</v>
      </c>
      <c r="P17" s="64">
        <f t="shared" si="2"/>
        <v>116.12</v>
      </c>
      <c r="Q17" s="64">
        <f t="shared" si="3"/>
        <v>228.92000000000002</v>
      </c>
      <c r="R17" s="4"/>
      <c r="S17" s="4"/>
    </row>
    <row r="18" spans="1:19" ht="15" customHeight="1" x14ac:dyDescent="0.15">
      <c r="A18" s="62" t="s">
        <v>856</v>
      </c>
      <c r="B18" s="11">
        <v>264</v>
      </c>
      <c r="C18" s="11">
        <v>103</v>
      </c>
      <c r="D18" s="11">
        <v>46</v>
      </c>
      <c r="E18" s="11"/>
      <c r="F18" s="11">
        <v>106</v>
      </c>
      <c r="G18" s="11"/>
      <c r="H18" s="11">
        <v>60</v>
      </c>
      <c r="I18" s="11"/>
      <c r="J18" s="11"/>
      <c r="K18" s="11"/>
      <c r="L18" s="11"/>
      <c r="M18" s="11"/>
      <c r="N18" s="63"/>
      <c r="O18" s="63" t="s">
        <v>858</v>
      </c>
      <c r="P18" s="64">
        <f t="shared" si="2"/>
        <v>161.72</v>
      </c>
      <c r="Q18" s="64">
        <f t="shared" si="3"/>
        <v>161.72</v>
      </c>
      <c r="R18" s="4"/>
      <c r="S18" s="4"/>
    </row>
    <row r="19" spans="1:19" ht="15" customHeight="1" x14ac:dyDescent="0.15">
      <c r="A19" s="62" t="s">
        <v>857</v>
      </c>
      <c r="B19" s="11">
        <v>264</v>
      </c>
      <c r="C19" s="11">
        <v>103</v>
      </c>
      <c r="D19" s="11">
        <v>46</v>
      </c>
      <c r="E19" s="11"/>
      <c r="F19" s="11">
        <v>106</v>
      </c>
      <c r="G19" s="11">
        <v>60</v>
      </c>
      <c r="H19" s="11"/>
      <c r="I19" s="11"/>
      <c r="J19" s="11"/>
      <c r="K19" s="11"/>
      <c r="L19" s="11"/>
      <c r="M19" s="11"/>
      <c r="N19" s="63"/>
      <c r="O19" s="63" t="s">
        <v>858</v>
      </c>
      <c r="P19" s="64">
        <f t="shared" si="2"/>
        <v>174.92000000000002</v>
      </c>
      <c r="Q19" s="64">
        <f t="shared" si="3"/>
        <v>174.92000000000002</v>
      </c>
      <c r="R19" s="4"/>
      <c r="S19" s="4"/>
    </row>
    <row r="20" spans="1:19" ht="15" customHeight="1" x14ac:dyDescent="0.15">
      <c r="A20" s="62" t="s">
        <v>860</v>
      </c>
      <c r="B20" s="11">
        <v>258</v>
      </c>
      <c r="C20" s="11">
        <v>65</v>
      </c>
      <c r="D20" s="11">
        <v>65</v>
      </c>
      <c r="E20" s="11"/>
      <c r="F20" s="11">
        <v>91</v>
      </c>
      <c r="G20" s="11">
        <v>43</v>
      </c>
      <c r="H20" s="11">
        <v>57</v>
      </c>
      <c r="I20" s="11"/>
      <c r="J20" s="11"/>
      <c r="K20" s="11"/>
      <c r="L20" s="11">
        <v>1</v>
      </c>
      <c r="M20" s="11"/>
      <c r="N20" s="3" t="s">
        <v>38</v>
      </c>
      <c r="O20" s="63" t="s">
        <v>861</v>
      </c>
      <c r="P20" s="64">
        <f t="shared" si="2"/>
        <v>190.76</v>
      </c>
      <c r="Q20" s="64">
        <f t="shared" si="3"/>
        <v>190.76</v>
      </c>
      <c r="R20" s="4"/>
      <c r="S20" s="4"/>
    </row>
    <row r="21" spans="1:19" ht="15" customHeight="1" x14ac:dyDescent="0.15">
      <c r="A21" s="62" t="s">
        <v>859</v>
      </c>
      <c r="B21" s="11">
        <v>245</v>
      </c>
      <c r="C21" s="11">
        <v>58</v>
      </c>
      <c r="D21" s="11">
        <v>58</v>
      </c>
      <c r="E21" s="11"/>
      <c r="F21" s="11">
        <v>89</v>
      </c>
      <c r="G21" s="11">
        <v>38</v>
      </c>
      <c r="H21" s="11">
        <v>58</v>
      </c>
      <c r="I21" s="11"/>
      <c r="J21" s="11"/>
      <c r="K21" s="11"/>
      <c r="L21" s="11"/>
      <c r="M21" s="11"/>
      <c r="N21" s="63"/>
      <c r="O21" s="63" t="s">
        <v>862</v>
      </c>
      <c r="P21" s="64">
        <f t="shared" si="2"/>
        <v>183.07999999999998</v>
      </c>
      <c r="Q21" s="64">
        <f t="shared" si="3"/>
        <v>183.07999999999998</v>
      </c>
      <c r="R21" s="4"/>
      <c r="S21" s="4"/>
    </row>
    <row r="22" spans="1:19" ht="15" customHeight="1" x14ac:dyDescent="0.15">
      <c r="A22" s="62" t="s">
        <v>863</v>
      </c>
      <c r="B22" s="11">
        <v>245</v>
      </c>
      <c r="C22" s="11">
        <v>54</v>
      </c>
      <c r="D22" s="11">
        <v>58</v>
      </c>
      <c r="E22" s="11"/>
      <c r="F22" s="11">
        <v>80</v>
      </c>
      <c r="G22" s="11"/>
      <c r="H22" s="11">
        <v>52</v>
      </c>
      <c r="I22" s="11">
        <v>42</v>
      </c>
      <c r="J22" s="11"/>
      <c r="K22" s="11"/>
      <c r="L22" s="11"/>
      <c r="M22" s="11">
        <v>1</v>
      </c>
      <c r="N22" s="63" t="s">
        <v>864</v>
      </c>
      <c r="O22" s="63" t="s">
        <v>865</v>
      </c>
      <c r="P22" s="64">
        <f t="shared" si="2"/>
        <v>132.28</v>
      </c>
      <c r="Q22" s="64">
        <f t="shared" si="3"/>
        <v>211.24</v>
      </c>
      <c r="R22" s="4"/>
      <c r="S22" s="4"/>
    </row>
    <row r="23" spans="1:19" ht="15" customHeight="1" x14ac:dyDescent="0.15">
      <c r="A23" s="62" t="s">
        <v>866</v>
      </c>
      <c r="B23" s="11">
        <v>245</v>
      </c>
      <c r="C23" s="11">
        <v>59</v>
      </c>
      <c r="D23" s="11">
        <v>57</v>
      </c>
      <c r="E23" s="11"/>
      <c r="F23" s="11">
        <v>80</v>
      </c>
      <c r="G23" s="11"/>
      <c r="H23" s="11">
        <v>50</v>
      </c>
      <c r="I23" s="11"/>
      <c r="J23" s="11">
        <v>21</v>
      </c>
      <c r="K23" s="11"/>
      <c r="L23" s="11">
        <v>1</v>
      </c>
      <c r="M23" s="11"/>
      <c r="N23" s="63" t="s">
        <v>864</v>
      </c>
      <c r="O23" s="63" t="s">
        <v>865</v>
      </c>
      <c r="P23" s="64">
        <f t="shared" si="2"/>
        <v>130.54000000000002</v>
      </c>
      <c r="Q23" s="64">
        <f t="shared" si="3"/>
        <v>130.54000000000002</v>
      </c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40"/>
  <sheetViews>
    <sheetView workbookViewId="0">
      <selection activeCell="A19" sqref="A19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303</v>
      </c>
      <c r="B2" s="2">
        <v>277</v>
      </c>
      <c r="C2" s="2">
        <v>103</v>
      </c>
      <c r="D2" s="2">
        <v>103</v>
      </c>
      <c r="E2" s="2"/>
      <c r="F2" s="2">
        <v>150</v>
      </c>
      <c r="G2" s="2">
        <v>82</v>
      </c>
      <c r="H2" s="2">
        <v>90</v>
      </c>
      <c r="I2" s="2"/>
      <c r="J2" s="2"/>
      <c r="K2" s="2"/>
      <c r="L2" s="2">
        <v>1</v>
      </c>
      <c r="M2" s="2"/>
      <c r="N2" s="3" t="s">
        <v>103</v>
      </c>
      <c r="O2" s="3" t="s">
        <v>79</v>
      </c>
      <c r="P2" s="4">
        <f t="shared" ref="P2:P11" si="0">D2*0.22+E2*0.59+F2*1+G2*0.98+H2*0.76</f>
        <v>321.41999999999996</v>
      </c>
      <c r="Q2" s="4">
        <f t="shared" ref="Q2:Q11" si="1">P2+I2*1.88</f>
        <v>321.41999999999996</v>
      </c>
    </row>
    <row r="3" spans="1:19" ht="15" customHeight="1" x14ac:dyDescent="0.15">
      <c r="A3" s="3" t="s">
        <v>304</v>
      </c>
      <c r="B3" s="2">
        <v>277</v>
      </c>
      <c r="C3" s="2">
        <v>103</v>
      </c>
      <c r="D3" s="2">
        <v>103</v>
      </c>
      <c r="E3" s="2">
        <v>90</v>
      </c>
      <c r="F3" s="2">
        <v>150</v>
      </c>
      <c r="G3" s="2">
        <v>85</v>
      </c>
      <c r="H3" s="2"/>
      <c r="I3" s="2"/>
      <c r="J3" s="2"/>
      <c r="K3" s="2"/>
      <c r="L3" s="2">
        <v>1</v>
      </c>
      <c r="M3" s="2"/>
      <c r="N3" s="3" t="s">
        <v>103</v>
      </c>
      <c r="O3" s="3" t="s">
        <v>81</v>
      </c>
      <c r="P3" s="4">
        <f t="shared" si="0"/>
        <v>309.06</v>
      </c>
      <c r="Q3" s="4">
        <f t="shared" si="1"/>
        <v>309.06</v>
      </c>
    </row>
    <row r="4" spans="1:19" ht="15" customHeight="1" x14ac:dyDescent="0.15">
      <c r="A4" s="3" t="s">
        <v>305</v>
      </c>
      <c r="B4" s="2">
        <v>277</v>
      </c>
      <c r="C4" s="2">
        <v>103</v>
      </c>
      <c r="D4" s="2">
        <v>103</v>
      </c>
      <c r="E4" s="2"/>
      <c r="F4" s="2">
        <v>140</v>
      </c>
      <c r="G4" s="2">
        <v>90</v>
      </c>
      <c r="H4" s="2"/>
      <c r="I4" s="2">
        <v>74</v>
      </c>
      <c r="J4" s="2"/>
      <c r="K4" s="2">
        <v>1</v>
      </c>
      <c r="L4" s="2"/>
      <c r="M4" s="2">
        <v>1</v>
      </c>
      <c r="N4" s="3" t="s">
        <v>30</v>
      </c>
      <c r="O4" s="3" t="s">
        <v>22</v>
      </c>
      <c r="P4" s="4">
        <f t="shared" si="0"/>
        <v>250.86</v>
      </c>
      <c r="Q4" s="4">
        <f t="shared" si="1"/>
        <v>389.98</v>
      </c>
      <c r="R4" s="4"/>
      <c r="S4" s="4"/>
    </row>
    <row r="5" spans="1:19" ht="15" customHeight="1" x14ac:dyDescent="0.15">
      <c r="A5" s="3" t="s">
        <v>102</v>
      </c>
      <c r="B5" s="2">
        <v>264</v>
      </c>
      <c r="C5" s="2">
        <v>92</v>
      </c>
      <c r="D5" s="2">
        <v>92</v>
      </c>
      <c r="E5" s="2"/>
      <c r="F5" s="2">
        <v>132</v>
      </c>
      <c r="G5" s="2">
        <v>72</v>
      </c>
      <c r="H5" s="2">
        <v>80</v>
      </c>
      <c r="I5" s="2"/>
      <c r="J5" s="2"/>
      <c r="K5" s="2"/>
      <c r="L5" s="2">
        <v>1</v>
      </c>
      <c r="M5" s="2"/>
      <c r="N5" s="3" t="s">
        <v>103</v>
      </c>
      <c r="O5" s="3" t="s">
        <v>85</v>
      </c>
      <c r="P5" s="4">
        <f t="shared" si="0"/>
        <v>283.60000000000002</v>
      </c>
      <c r="Q5" s="4">
        <f t="shared" si="1"/>
        <v>283.60000000000002</v>
      </c>
      <c r="R5" s="4"/>
      <c r="S5" s="4"/>
    </row>
    <row r="6" spans="1:19" ht="15" customHeight="1" x14ac:dyDescent="0.15">
      <c r="A6" s="3" t="s">
        <v>105</v>
      </c>
      <c r="B6" s="2">
        <v>264</v>
      </c>
      <c r="C6" s="2">
        <v>92</v>
      </c>
      <c r="D6" s="2">
        <v>92</v>
      </c>
      <c r="E6" s="2">
        <v>80</v>
      </c>
      <c r="F6" s="2">
        <v>132</v>
      </c>
      <c r="G6" s="2"/>
      <c r="H6" s="2">
        <v>72</v>
      </c>
      <c r="I6" s="2"/>
      <c r="J6" s="2"/>
      <c r="K6" s="2"/>
      <c r="L6" s="2">
        <v>1</v>
      </c>
      <c r="M6" s="2"/>
      <c r="N6" s="3" t="s">
        <v>103</v>
      </c>
      <c r="O6" s="3" t="s">
        <v>86</v>
      </c>
      <c r="P6" s="4">
        <f t="shared" si="0"/>
        <v>254.16</v>
      </c>
      <c r="Q6" s="4">
        <f t="shared" si="1"/>
        <v>254.16</v>
      </c>
      <c r="R6" s="4"/>
      <c r="S6" s="4"/>
    </row>
    <row r="7" spans="1:19" ht="15" customHeight="1" x14ac:dyDescent="0.15">
      <c r="A7" s="3" t="s">
        <v>306</v>
      </c>
      <c r="B7" s="2">
        <v>264</v>
      </c>
      <c r="C7" s="2">
        <v>92</v>
      </c>
      <c r="D7" s="2">
        <v>92</v>
      </c>
      <c r="E7" s="2"/>
      <c r="F7" s="2">
        <v>122</v>
      </c>
      <c r="G7" s="2">
        <v>80</v>
      </c>
      <c r="H7" s="2"/>
      <c r="I7" s="2">
        <v>64</v>
      </c>
      <c r="J7" s="2"/>
      <c r="K7" s="2"/>
      <c r="L7" s="2">
        <v>2</v>
      </c>
      <c r="M7" s="2"/>
      <c r="N7" s="3" t="s">
        <v>30</v>
      </c>
      <c r="O7" s="3" t="s">
        <v>97</v>
      </c>
      <c r="P7" s="4">
        <f t="shared" si="0"/>
        <v>220.64000000000001</v>
      </c>
      <c r="Q7" s="4">
        <f t="shared" si="1"/>
        <v>340.96000000000004</v>
      </c>
      <c r="R7" s="4"/>
      <c r="S7" s="4"/>
    </row>
    <row r="8" spans="1:19" ht="15" customHeight="1" x14ac:dyDescent="0.15">
      <c r="A8" s="3" t="s">
        <v>307</v>
      </c>
      <c r="B8" s="2">
        <v>264</v>
      </c>
      <c r="C8" s="2">
        <v>92</v>
      </c>
      <c r="D8" s="2">
        <v>92</v>
      </c>
      <c r="E8" s="2">
        <v>85</v>
      </c>
      <c r="F8" s="2">
        <v>122</v>
      </c>
      <c r="G8" s="2"/>
      <c r="H8" s="2">
        <v>56</v>
      </c>
      <c r="I8" s="2"/>
      <c r="J8" s="2"/>
      <c r="K8" s="2"/>
      <c r="L8" s="2">
        <v>1</v>
      </c>
      <c r="M8" s="2">
        <v>1</v>
      </c>
      <c r="N8" s="3" t="s">
        <v>30</v>
      </c>
      <c r="O8" s="3" t="s">
        <v>25</v>
      </c>
      <c r="P8" s="4">
        <f t="shared" si="0"/>
        <v>234.95</v>
      </c>
      <c r="Q8" s="4">
        <f t="shared" si="1"/>
        <v>234.95</v>
      </c>
      <c r="R8" s="4"/>
      <c r="S8" s="4"/>
    </row>
    <row r="9" spans="1:19" ht="15" customHeight="1" x14ac:dyDescent="0.15">
      <c r="A9" s="3" t="s">
        <v>104</v>
      </c>
      <c r="B9" s="2">
        <v>264</v>
      </c>
      <c r="C9" s="2">
        <v>92</v>
      </c>
      <c r="D9" s="2">
        <v>92</v>
      </c>
      <c r="E9" s="2"/>
      <c r="F9" s="2">
        <v>122</v>
      </c>
      <c r="G9" s="2">
        <v>80</v>
      </c>
      <c r="H9" s="2"/>
      <c r="I9" s="2">
        <v>64</v>
      </c>
      <c r="J9" s="2"/>
      <c r="K9" s="2">
        <v>1</v>
      </c>
      <c r="L9" s="2"/>
      <c r="M9" s="2">
        <v>1</v>
      </c>
      <c r="N9" s="3" t="s">
        <v>30</v>
      </c>
      <c r="O9" s="3" t="s">
        <v>32</v>
      </c>
      <c r="P9" s="4">
        <f t="shared" si="0"/>
        <v>220.64000000000001</v>
      </c>
      <c r="Q9" s="4">
        <f t="shared" si="1"/>
        <v>340.96000000000004</v>
      </c>
      <c r="R9" s="4"/>
      <c r="S9" s="4"/>
    </row>
    <row r="10" spans="1:19" ht="15" customHeight="1" x14ac:dyDescent="0.15">
      <c r="A10" s="3" t="s">
        <v>108</v>
      </c>
      <c r="B10" s="2">
        <v>251</v>
      </c>
      <c r="C10" s="2">
        <v>81</v>
      </c>
      <c r="D10" s="2">
        <v>81</v>
      </c>
      <c r="E10" s="2"/>
      <c r="F10" s="2">
        <v>116</v>
      </c>
      <c r="G10" s="2">
        <v>63</v>
      </c>
      <c r="H10" s="2">
        <v>71</v>
      </c>
      <c r="I10" s="2"/>
      <c r="J10" s="2"/>
      <c r="K10" s="2"/>
      <c r="L10" s="2">
        <v>1</v>
      </c>
      <c r="M10" s="2"/>
      <c r="N10" s="3" t="s">
        <v>103</v>
      </c>
      <c r="O10" s="3" t="s">
        <v>89</v>
      </c>
      <c r="P10" s="4">
        <f>D10*0.22+E10*0.59+F10*1+G10*0.98+H10*0.76</f>
        <v>249.52</v>
      </c>
      <c r="Q10" s="4">
        <f>P10+I10*1.88</f>
        <v>249.52</v>
      </c>
      <c r="R10" s="4"/>
      <c r="S10" s="4"/>
    </row>
    <row r="11" spans="1:19" ht="15" customHeight="1" x14ac:dyDescent="0.15">
      <c r="A11" s="3" t="s">
        <v>109</v>
      </c>
      <c r="B11" s="2">
        <v>251</v>
      </c>
      <c r="C11" s="2">
        <v>81</v>
      </c>
      <c r="D11" s="2">
        <v>81</v>
      </c>
      <c r="E11" s="2">
        <v>71</v>
      </c>
      <c r="F11" s="2">
        <v>116</v>
      </c>
      <c r="G11" s="2"/>
      <c r="H11" s="2">
        <v>63</v>
      </c>
      <c r="I11" s="2"/>
      <c r="J11" s="2"/>
      <c r="K11" s="2"/>
      <c r="L11" s="2">
        <v>1</v>
      </c>
      <c r="M11" s="2"/>
      <c r="N11" s="3" t="s">
        <v>103</v>
      </c>
      <c r="O11" s="3" t="s">
        <v>90</v>
      </c>
      <c r="P11" s="4">
        <f t="shared" si="0"/>
        <v>223.59</v>
      </c>
      <c r="Q11" s="4">
        <f t="shared" si="1"/>
        <v>223.59</v>
      </c>
      <c r="R11" s="4"/>
      <c r="S11" s="4"/>
    </row>
    <row r="12" spans="1:19" ht="15" customHeight="1" x14ac:dyDescent="0.15">
      <c r="A12" s="3" t="s">
        <v>106</v>
      </c>
      <c r="B12" s="2">
        <v>251</v>
      </c>
      <c r="C12" s="2">
        <v>81</v>
      </c>
      <c r="D12" s="2">
        <v>81</v>
      </c>
      <c r="E12" s="2"/>
      <c r="F12" s="2">
        <v>106</v>
      </c>
      <c r="G12" s="2">
        <v>71</v>
      </c>
      <c r="H12" s="2"/>
      <c r="I12" s="2">
        <v>55</v>
      </c>
      <c r="J12" s="2"/>
      <c r="K12" s="2"/>
      <c r="L12" s="2">
        <v>2</v>
      </c>
      <c r="M12" s="2"/>
      <c r="N12" s="3" t="s">
        <v>30</v>
      </c>
      <c r="O12" s="3" t="s">
        <v>101</v>
      </c>
      <c r="P12" s="4">
        <f t="shared" ref="P12:P19" si="2">D12*0.22+E12*0.59+F12*1+G12*0.98+H12*0.76</f>
        <v>193.39999999999998</v>
      </c>
      <c r="Q12" s="4">
        <f t="shared" ref="Q12:Q19" si="3">P12+I12*1.88</f>
        <v>296.79999999999995</v>
      </c>
      <c r="R12" s="4"/>
      <c r="S12" s="4"/>
    </row>
    <row r="13" spans="1:19" ht="15" customHeight="1" x14ac:dyDescent="0.15">
      <c r="A13" s="3" t="s">
        <v>107</v>
      </c>
      <c r="B13" s="2">
        <v>251</v>
      </c>
      <c r="C13" s="2">
        <v>81</v>
      </c>
      <c r="D13" s="2">
        <v>81</v>
      </c>
      <c r="E13" s="2">
        <v>75</v>
      </c>
      <c r="F13" s="2">
        <v>106</v>
      </c>
      <c r="G13" s="2"/>
      <c r="H13" s="2">
        <v>48</v>
      </c>
      <c r="I13" s="2"/>
      <c r="J13" s="2"/>
      <c r="K13" s="2"/>
      <c r="L13" s="2">
        <v>1</v>
      </c>
      <c r="M13" s="2">
        <v>1</v>
      </c>
      <c r="N13" s="3" t="s">
        <v>30</v>
      </c>
      <c r="O13" s="3" t="s">
        <v>35</v>
      </c>
      <c r="P13" s="4">
        <f t="shared" si="2"/>
        <v>204.55</v>
      </c>
      <c r="Q13" s="4">
        <f t="shared" si="3"/>
        <v>204.55</v>
      </c>
      <c r="R13" s="4"/>
      <c r="S13" s="4"/>
    </row>
    <row r="14" spans="1:19" ht="15" customHeight="1" x14ac:dyDescent="0.15">
      <c r="A14" s="63" t="s">
        <v>843</v>
      </c>
      <c r="B14" s="11">
        <v>270</v>
      </c>
      <c r="C14" s="11">
        <v>145</v>
      </c>
      <c r="D14" s="11">
        <v>64</v>
      </c>
      <c r="E14" s="11"/>
      <c r="F14" s="11">
        <v>140</v>
      </c>
      <c r="G14" s="11"/>
      <c r="H14" s="11">
        <v>77</v>
      </c>
      <c r="I14" s="11"/>
      <c r="J14" s="11"/>
      <c r="K14" s="11"/>
      <c r="L14" s="11">
        <v>1</v>
      </c>
      <c r="M14" s="11"/>
      <c r="N14" s="63" t="s">
        <v>845</v>
      </c>
      <c r="O14" s="63" t="s">
        <v>846</v>
      </c>
      <c r="P14" s="64">
        <f t="shared" si="2"/>
        <v>212.60000000000002</v>
      </c>
      <c r="Q14" s="64">
        <f t="shared" si="3"/>
        <v>212.60000000000002</v>
      </c>
      <c r="R14" s="4"/>
      <c r="S14" s="4"/>
    </row>
    <row r="15" spans="1:19" ht="15" customHeight="1" x14ac:dyDescent="0.15">
      <c r="A15" s="63" t="s">
        <v>844</v>
      </c>
      <c r="B15" s="11">
        <v>270</v>
      </c>
      <c r="C15" s="11">
        <v>145</v>
      </c>
      <c r="D15" s="11">
        <v>64</v>
      </c>
      <c r="E15" s="11">
        <v>77</v>
      </c>
      <c r="F15" s="11">
        <v>140</v>
      </c>
      <c r="G15" s="11"/>
      <c r="H15" s="11"/>
      <c r="I15" s="11"/>
      <c r="J15" s="11"/>
      <c r="K15" s="11"/>
      <c r="L15" s="11">
        <v>1</v>
      </c>
      <c r="M15" s="11"/>
      <c r="N15" s="63" t="s">
        <v>845</v>
      </c>
      <c r="O15" s="63" t="s">
        <v>846</v>
      </c>
      <c r="P15" s="64">
        <f t="shared" si="2"/>
        <v>199.51</v>
      </c>
      <c r="Q15" s="64">
        <f t="shared" si="3"/>
        <v>199.51</v>
      </c>
      <c r="R15" s="4"/>
      <c r="S15" s="4"/>
    </row>
    <row r="16" spans="1:19" ht="15" customHeight="1" x14ac:dyDescent="0.15">
      <c r="A16" s="63" t="s">
        <v>848</v>
      </c>
      <c r="B16" s="11">
        <v>258</v>
      </c>
      <c r="C16" s="11">
        <v>86</v>
      </c>
      <c r="D16" s="11">
        <v>86</v>
      </c>
      <c r="E16" s="11">
        <v>76</v>
      </c>
      <c r="F16" s="11">
        <v>124</v>
      </c>
      <c r="G16" s="11"/>
      <c r="H16" s="11">
        <v>68</v>
      </c>
      <c r="I16" s="11"/>
      <c r="J16" s="11"/>
      <c r="K16" s="11"/>
      <c r="L16" s="11">
        <v>1</v>
      </c>
      <c r="M16" s="11"/>
      <c r="N16" s="63" t="s">
        <v>849</v>
      </c>
      <c r="O16" s="63" t="s">
        <v>850</v>
      </c>
      <c r="P16" s="64">
        <f t="shared" si="2"/>
        <v>239.44</v>
      </c>
      <c r="Q16" s="64">
        <f t="shared" si="3"/>
        <v>239.44</v>
      </c>
      <c r="R16" s="4"/>
      <c r="S16" s="4"/>
    </row>
    <row r="17" spans="1:19" ht="15" customHeight="1" x14ac:dyDescent="0.15">
      <c r="A17" s="63" t="s">
        <v>847</v>
      </c>
      <c r="B17" s="11">
        <v>245</v>
      </c>
      <c r="C17" s="11">
        <v>77</v>
      </c>
      <c r="D17" s="11">
        <v>77</v>
      </c>
      <c r="E17" s="11">
        <v>67</v>
      </c>
      <c r="F17" s="11">
        <v>109</v>
      </c>
      <c r="G17" s="11"/>
      <c r="H17" s="11">
        <v>59</v>
      </c>
      <c r="I17" s="11"/>
      <c r="J17" s="11"/>
      <c r="K17" s="11"/>
      <c r="L17" s="11">
        <v>1</v>
      </c>
      <c r="M17" s="11"/>
      <c r="N17" s="63" t="s">
        <v>849</v>
      </c>
      <c r="O17" s="63" t="s">
        <v>850</v>
      </c>
      <c r="P17" s="64">
        <f t="shared" si="2"/>
        <v>210.31</v>
      </c>
      <c r="Q17" s="64">
        <f t="shared" si="3"/>
        <v>210.31</v>
      </c>
      <c r="R17" s="4"/>
      <c r="S17" s="4"/>
    </row>
    <row r="18" spans="1:19" ht="15" customHeight="1" x14ac:dyDescent="0.15">
      <c r="A18" s="63" t="s">
        <v>851</v>
      </c>
      <c r="B18" s="11">
        <v>245</v>
      </c>
      <c r="C18" s="11">
        <v>77</v>
      </c>
      <c r="D18" s="11">
        <v>77</v>
      </c>
      <c r="E18" s="11">
        <v>67</v>
      </c>
      <c r="F18" s="11">
        <v>109</v>
      </c>
      <c r="G18" s="11">
        <v>59</v>
      </c>
      <c r="H18" s="11"/>
      <c r="I18" s="11"/>
      <c r="J18" s="11"/>
      <c r="K18" s="11"/>
      <c r="L18" s="11"/>
      <c r="M18" s="11">
        <v>1</v>
      </c>
      <c r="N18" s="63" t="s">
        <v>849</v>
      </c>
      <c r="O18" s="63" t="s">
        <v>852</v>
      </c>
      <c r="P18" s="64">
        <f t="shared" si="2"/>
        <v>223.29</v>
      </c>
      <c r="Q18" s="64">
        <f t="shared" si="3"/>
        <v>223.29</v>
      </c>
      <c r="R18" s="4"/>
      <c r="S18" s="4"/>
    </row>
    <row r="19" spans="1:19" ht="15" customHeight="1" x14ac:dyDescent="0.15">
      <c r="A19" s="63" t="s">
        <v>853</v>
      </c>
      <c r="B19" s="11">
        <v>245</v>
      </c>
      <c r="C19" s="11">
        <v>77</v>
      </c>
      <c r="D19" s="11">
        <v>77</v>
      </c>
      <c r="E19" s="11"/>
      <c r="F19" s="11">
        <v>109</v>
      </c>
      <c r="G19" s="11">
        <v>59</v>
      </c>
      <c r="H19" s="11"/>
      <c r="I19" s="11">
        <v>67</v>
      </c>
      <c r="J19" s="11"/>
      <c r="K19" s="11"/>
      <c r="L19" s="11">
        <v>1</v>
      </c>
      <c r="M19" s="11"/>
      <c r="N19" s="63" t="s">
        <v>849</v>
      </c>
      <c r="O19" s="63" t="s">
        <v>852</v>
      </c>
      <c r="P19" s="64">
        <f t="shared" si="2"/>
        <v>183.76</v>
      </c>
      <c r="Q19" s="64">
        <f t="shared" si="3"/>
        <v>309.71999999999997</v>
      </c>
      <c r="R19" s="4"/>
      <c r="S19" s="4"/>
    </row>
    <row r="20" spans="1:19" ht="15" customHeight="1" x14ac:dyDescent="0.15">
      <c r="A20" s="3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3"/>
      <c r="P20" s="4"/>
      <c r="Q20" s="4"/>
      <c r="R20" s="4"/>
      <c r="S20" s="4"/>
    </row>
    <row r="21" spans="1:19" ht="15" customHeight="1" x14ac:dyDescent="0.15">
      <c r="A21" s="3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3"/>
      <c r="P21" s="4"/>
      <c r="Q21" s="4"/>
      <c r="R21" s="4"/>
      <c r="S21" s="4"/>
    </row>
    <row r="22" spans="1:19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3"/>
      <c r="P22" s="4"/>
      <c r="Q22" s="4"/>
      <c r="R22" s="4"/>
      <c r="S22" s="4"/>
    </row>
    <row r="23" spans="1:19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3"/>
      <c r="P23" s="4"/>
      <c r="Q23" s="4"/>
      <c r="R23" s="4"/>
      <c r="S23" s="4"/>
    </row>
    <row r="24" spans="1:19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42"/>
  <sheetViews>
    <sheetView workbookViewId="0">
      <selection activeCell="A30" sqref="A30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308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73</v>
      </c>
      <c r="H2" s="2">
        <v>65</v>
      </c>
      <c r="I2" s="2"/>
      <c r="J2" s="2"/>
      <c r="K2" s="2">
        <v>1</v>
      </c>
      <c r="L2" s="2"/>
      <c r="M2" s="2"/>
      <c r="N2" s="3" t="s">
        <v>38</v>
      </c>
      <c r="O2" s="1" t="s">
        <v>111</v>
      </c>
      <c r="P2" s="4">
        <f>D2*0.22+E2*0.59+F2*1+G2*0.98+H2*0.76</f>
        <v>257.2</v>
      </c>
      <c r="Q2" s="4">
        <f>P2+I2*1.88</f>
        <v>257.2</v>
      </c>
      <c r="R2" s="4"/>
      <c r="S2" s="4"/>
    </row>
    <row r="3" spans="1:19" ht="15" customHeight="1" x14ac:dyDescent="0.15">
      <c r="A3" s="1" t="s">
        <v>309</v>
      </c>
      <c r="B3" s="2">
        <v>277</v>
      </c>
      <c r="C3" s="2">
        <v>78</v>
      </c>
      <c r="D3" s="2">
        <v>78</v>
      </c>
      <c r="E3" s="2"/>
      <c r="F3" s="2">
        <v>110</v>
      </c>
      <c r="G3" s="2">
        <v>60</v>
      </c>
      <c r="H3" s="2">
        <v>68</v>
      </c>
      <c r="I3" s="2"/>
      <c r="J3" s="2"/>
      <c r="K3" s="2"/>
      <c r="L3" s="2">
        <v>1</v>
      </c>
      <c r="M3" s="2"/>
      <c r="N3" s="3" t="s">
        <v>38</v>
      </c>
      <c r="O3" s="1" t="s">
        <v>68</v>
      </c>
      <c r="P3" s="4">
        <f>D3*0.22+E3*0.59+F3*1+G3*0.98+H3*0.76</f>
        <v>237.64</v>
      </c>
      <c r="Q3" s="4">
        <f>P3+I3*1.88</f>
        <v>237.64</v>
      </c>
      <c r="R3" s="4"/>
      <c r="S3" s="4"/>
    </row>
    <row r="4" spans="1:19" ht="15" customHeight="1" x14ac:dyDescent="0.15">
      <c r="A4" s="1" t="s">
        <v>310</v>
      </c>
      <c r="B4" s="2">
        <v>277</v>
      </c>
      <c r="C4" s="2">
        <v>78</v>
      </c>
      <c r="D4" s="2">
        <v>78</v>
      </c>
      <c r="E4" s="2">
        <v>68</v>
      </c>
      <c r="F4" s="2">
        <v>110</v>
      </c>
      <c r="G4" s="2">
        <v>60</v>
      </c>
      <c r="H4" s="2"/>
      <c r="I4" s="2"/>
      <c r="J4" s="2"/>
      <c r="K4" s="2"/>
      <c r="L4" s="2"/>
      <c r="M4" s="2">
        <v>1</v>
      </c>
      <c r="N4" s="3" t="s">
        <v>38</v>
      </c>
      <c r="O4" s="1" t="s">
        <v>114</v>
      </c>
      <c r="P4" s="4">
        <f>D4*0.22+E4*0.59+F4*1+G4*0.98+H4*0.76</f>
        <v>226.07999999999998</v>
      </c>
      <c r="Q4" s="4">
        <f>P4+I4*1.88</f>
        <v>226.07999999999998</v>
      </c>
      <c r="R4" s="4"/>
      <c r="S4" s="4"/>
    </row>
    <row r="5" spans="1:19" ht="15" customHeight="1" x14ac:dyDescent="0.15">
      <c r="A5" s="1" t="s">
        <v>311</v>
      </c>
      <c r="B5" s="2">
        <v>271</v>
      </c>
      <c r="C5" s="2">
        <v>73</v>
      </c>
      <c r="D5" s="2">
        <v>73</v>
      </c>
      <c r="E5" s="2"/>
      <c r="F5" s="2">
        <v>104</v>
      </c>
      <c r="G5" s="2">
        <v>64</v>
      </c>
      <c r="H5" s="2"/>
      <c r="I5" s="2"/>
      <c r="J5" s="2">
        <v>28</v>
      </c>
      <c r="K5" s="2">
        <v>1</v>
      </c>
      <c r="L5" s="2"/>
      <c r="M5" s="2"/>
      <c r="N5" s="3" t="s">
        <v>38</v>
      </c>
      <c r="O5" s="1" t="s">
        <v>116</v>
      </c>
      <c r="P5" s="4">
        <f>D5*0.22+E5*0.59+F5*1+G5*0.98+H5*0.76</f>
        <v>182.78</v>
      </c>
      <c r="Q5" s="4">
        <f>P5+I5*1.88</f>
        <v>182.78</v>
      </c>
      <c r="R5" s="4"/>
      <c r="S5" s="4"/>
    </row>
    <row r="6" spans="1:19" ht="15" customHeight="1" x14ac:dyDescent="0.15">
      <c r="A6" s="1" t="s">
        <v>110</v>
      </c>
      <c r="B6" s="2">
        <v>271</v>
      </c>
      <c r="C6" s="2">
        <v>73</v>
      </c>
      <c r="D6" s="2">
        <v>73</v>
      </c>
      <c r="E6" s="2"/>
      <c r="F6" s="2">
        <v>104</v>
      </c>
      <c r="G6" s="2">
        <v>64</v>
      </c>
      <c r="H6" s="2">
        <v>56</v>
      </c>
      <c r="I6" s="2"/>
      <c r="J6" s="2"/>
      <c r="K6" s="2">
        <v>1</v>
      </c>
      <c r="L6" s="2"/>
      <c r="M6" s="2"/>
      <c r="N6" s="3" t="s">
        <v>38</v>
      </c>
      <c r="O6" s="1" t="s">
        <v>117</v>
      </c>
      <c r="P6" s="4">
        <f>D6*0.22+E6*0.59+F6*1+G6*0.98+H6*0.76</f>
        <v>225.34</v>
      </c>
      <c r="Q6" s="4">
        <f>P6+I6*1.88</f>
        <v>225.34</v>
      </c>
      <c r="R6" s="4"/>
      <c r="S6" s="4"/>
    </row>
    <row r="7" spans="1:19" ht="15" customHeight="1" x14ac:dyDescent="0.15">
      <c r="A7" s="1" t="s">
        <v>312</v>
      </c>
      <c r="B7" s="2">
        <v>264</v>
      </c>
      <c r="C7" s="2">
        <v>69</v>
      </c>
      <c r="D7" s="2">
        <v>69</v>
      </c>
      <c r="E7" s="2"/>
      <c r="F7" s="2">
        <v>97</v>
      </c>
      <c r="G7" s="2">
        <v>63</v>
      </c>
      <c r="H7" s="2"/>
      <c r="I7" s="2">
        <v>48</v>
      </c>
      <c r="J7" s="2"/>
      <c r="K7" s="2"/>
      <c r="L7" s="2">
        <v>1</v>
      </c>
      <c r="M7" s="2"/>
      <c r="N7" s="3" t="s">
        <v>119</v>
      </c>
      <c r="O7" s="1" t="s">
        <v>29</v>
      </c>
      <c r="P7" s="4">
        <f t="shared" ref="P7:P12" si="0">D7*0.22+E7*0.59+F7*1+G7*0.98+H7*0.76</f>
        <v>173.92000000000002</v>
      </c>
      <c r="Q7" s="4">
        <f t="shared" ref="Q7:Q12" si="1">P7+I7*1.88</f>
        <v>264.16000000000003</v>
      </c>
      <c r="R7" s="4"/>
      <c r="S7" s="4"/>
    </row>
    <row r="8" spans="1:19" ht="15" customHeight="1" x14ac:dyDescent="0.15">
      <c r="A8" s="1" t="s">
        <v>313</v>
      </c>
      <c r="B8" s="2">
        <v>264</v>
      </c>
      <c r="C8" s="2">
        <v>69</v>
      </c>
      <c r="D8" s="2">
        <v>69</v>
      </c>
      <c r="E8" s="2"/>
      <c r="F8" s="2">
        <v>97</v>
      </c>
      <c r="G8" s="2">
        <v>52</v>
      </c>
      <c r="H8" s="2"/>
      <c r="I8" s="2"/>
      <c r="J8" s="2">
        <v>30</v>
      </c>
      <c r="K8" s="2">
        <v>1</v>
      </c>
      <c r="L8" s="2"/>
      <c r="M8" s="2"/>
      <c r="N8" s="3" t="s">
        <v>121</v>
      </c>
      <c r="O8" s="1" t="s">
        <v>74</v>
      </c>
      <c r="P8" s="4">
        <f t="shared" si="0"/>
        <v>163.14000000000001</v>
      </c>
      <c r="Q8" s="4">
        <f t="shared" si="1"/>
        <v>163.14000000000001</v>
      </c>
      <c r="R8" s="4"/>
      <c r="S8" s="4"/>
    </row>
    <row r="9" spans="1:19" ht="15" customHeight="1" x14ac:dyDescent="0.15">
      <c r="A9" s="1" t="s">
        <v>112</v>
      </c>
      <c r="B9" s="2">
        <v>264</v>
      </c>
      <c r="C9" s="2">
        <v>59</v>
      </c>
      <c r="D9" s="2">
        <v>59</v>
      </c>
      <c r="E9" s="2"/>
      <c r="F9" s="2">
        <v>97</v>
      </c>
      <c r="G9" s="2">
        <v>52</v>
      </c>
      <c r="H9" s="2">
        <v>60</v>
      </c>
      <c r="I9" s="2"/>
      <c r="J9" s="2"/>
      <c r="K9" s="2"/>
      <c r="L9" s="2">
        <v>1</v>
      </c>
      <c r="M9" s="2"/>
      <c r="N9" s="3" t="s">
        <v>38</v>
      </c>
      <c r="O9" s="1" t="s">
        <v>75</v>
      </c>
      <c r="P9" s="4">
        <f t="shared" si="0"/>
        <v>206.54</v>
      </c>
      <c r="Q9" s="4">
        <f t="shared" si="1"/>
        <v>206.54</v>
      </c>
      <c r="R9" s="4"/>
      <c r="S9" s="4"/>
    </row>
    <row r="10" spans="1:19" ht="15" customHeight="1" x14ac:dyDescent="0.15">
      <c r="A10" s="1" t="s">
        <v>113</v>
      </c>
      <c r="B10" s="2">
        <v>264</v>
      </c>
      <c r="C10" s="2">
        <v>69</v>
      </c>
      <c r="D10" s="2">
        <v>69</v>
      </c>
      <c r="E10" s="2">
        <v>60</v>
      </c>
      <c r="F10" s="2">
        <v>97</v>
      </c>
      <c r="G10" s="2">
        <v>52</v>
      </c>
      <c r="H10" s="2"/>
      <c r="I10" s="2"/>
      <c r="J10" s="2"/>
      <c r="K10" s="2"/>
      <c r="L10" s="2"/>
      <c r="M10" s="2">
        <v>1</v>
      </c>
      <c r="N10" s="3" t="s">
        <v>38</v>
      </c>
      <c r="O10" s="1" t="s">
        <v>122</v>
      </c>
      <c r="P10" s="4">
        <f t="shared" si="0"/>
        <v>198.54</v>
      </c>
      <c r="Q10" s="4">
        <f t="shared" si="1"/>
        <v>198.54</v>
      </c>
      <c r="R10" s="4"/>
      <c r="S10" s="4"/>
    </row>
    <row r="11" spans="1:19" ht="15" customHeight="1" x14ac:dyDescent="0.15">
      <c r="A11" s="1" t="s">
        <v>123</v>
      </c>
      <c r="B11" s="2">
        <v>264</v>
      </c>
      <c r="C11" s="2">
        <v>69</v>
      </c>
      <c r="D11" s="2">
        <v>69</v>
      </c>
      <c r="E11" s="2"/>
      <c r="F11" s="2">
        <v>97</v>
      </c>
      <c r="G11" s="2"/>
      <c r="H11" s="2">
        <v>52</v>
      </c>
      <c r="I11" s="2"/>
      <c r="J11" s="2">
        <v>30</v>
      </c>
      <c r="K11" s="2"/>
      <c r="L11" s="2"/>
      <c r="M11" s="2">
        <v>1</v>
      </c>
      <c r="N11" s="3" t="s">
        <v>103</v>
      </c>
      <c r="O11" s="1" t="s">
        <v>124</v>
      </c>
      <c r="P11" s="4">
        <f t="shared" si="0"/>
        <v>151.70000000000002</v>
      </c>
      <c r="Q11" s="4">
        <f t="shared" si="1"/>
        <v>151.70000000000002</v>
      </c>
      <c r="R11" s="4"/>
      <c r="S11" s="4"/>
    </row>
    <row r="12" spans="1:19" ht="15" customHeight="1" x14ac:dyDescent="0.15">
      <c r="A12" s="1" t="s">
        <v>125</v>
      </c>
      <c r="B12" s="2">
        <v>264</v>
      </c>
      <c r="C12" s="2">
        <v>69</v>
      </c>
      <c r="D12" s="2">
        <v>69</v>
      </c>
      <c r="E12" s="2">
        <v>60</v>
      </c>
      <c r="F12" s="2">
        <v>97</v>
      </c>
      <c r="G12" s="2"/>
      <c r="H12" s="2">
        <v>52</v>
      </c>
      <c r="I12" s="2"/>
      <c r="J12" s="2"/>
      <c r="K12" s="2"/>
      <c r="L12" s="2">
        <v>1</v>
      </c>
      <c r="M12" s="2"/>
      <c r="N12" s="3" t="s">
        <v>103</v>
      </c>
      <c r="O12" s="1" t="s">
        <v>124</v>
      </c>
      <c r="P12" s="4">
        <f t="shared" si="0"/>
        <v>187.1</v>
      </c>
      <c r="Q12" s="4">
        <f t="shared" si="1"/>
        <v>187.1</v>
      </c>
      <c r="R12" s="4"/>
      <c r="S12" s="4"/>
    </row>
    <row r="13" spans="1:19" ht="15" customHeight="1" x14ac:dyDescent="0.15">
      <c r="A13" s="1" t="s">
        <v>115</v>
      </c>
      <c r="B13" s="2">
        <v>258</v>
      </c>
      <c r="C13" s="2">
        <v>65</v>
      </c>
      <c r="D13" s="2">
        <v>65</v>
      </c>
      <c r="E13" s="2"/>
      <c r="F13" s="2">
        <v>91</v>
      </c>
      <c r="G13" s="2">
        <v>57</v>
      </c>
      <c r="H13" s="2"/>
      <c r="I13" s="2"/>
      <c r="J13" s="2">
        <v>24</v>
      </c>
      <c r="K13" s="2">
        <v>1</v>
      </c>
      <c r="L13" s="2"/>
      <c r="M13" s="2"/>
      <c r="N13" s="3" t="s">
        <v>38</v>
      </c>
      <c r="O13" s="1" t="s">
        <v>126</v>
      </c>
      <c r="P13" s="4">
        <f t="shared" ref="P13:P30" si="2">D13*0.22+E13*0.59+F13*1+G13*0.98+H13*0.76</f>
        <v>161.16</v>
      </c>
      <c r="Q13" s="4">
        <f t="shared" ref="Q13:Q30" si="3">P13+I13*1.88</f>
        <v>161.16</v>
      </c>
      <c r="R13" s="4"/>
      <c r="S13" s="4"/>
    </row>
    <row r="14" spans="1:19" ht="15" customHeight="1" x14ac:dyDescent="0.15">
      <c r="A14" s="1" t="s">
        <v>118</v>
      </c>
      <c r="B14" s="2">
        <v>251</v>
      </c>
      <c r="C14" s="2">
        <v>61</v>
      </c>
      <c r="D14" s="2">
        <v>61</v>
      </c>
      <c r="E14" s="2"/>
      <c r="F14" s="2">
        <v>85</v>
      </c>
      <c r="G14" s="2">
        <v>56</v>
      </c>
      <c r="H14" s="2"/>
      <c r="I14" s="2">
        <v>41</v>
      </c>
      <c r="J14" s="2"/>
      <c r="K14" s="2"/>
      <c r="L14" s="2">
        <v>1</v>
      </c>
      <c r="M14" s="2"/>
      <c r="N14" s="3" t="s">
        <v>119</v>
      </c>
      <c r="O14" s="1" t="s">
        <v>33</v>
      </c>
      <c r="P14" s="4">
        <f t="shared" si="2"/>
        <v>153.30000000000001</v>
      </c>
      <c r="Q14" s="4">
        <f t="shared" si="3"/>
        <v>230.38</v>
      </c>
      <c r="R14" s="4"/>
      <c r="S14" s="4"/>
    </row>
    <row r="15" spans="1:19" ht="15" customHeight="1" x14ac:dyDescent="0.15">
      <c r="A15" s="1" t="s">
        <v>120</v>
      </c>
      <c r="B15" s="2">
        <v>251</v>
      </c>
      <c r="C15" s="2">
        <v>61</v>
      </c>
      <c r="D15" s="2">
        <v>61</v>
      </c>
      <c r="E15" s="2"/>
      <c r="F15" s="2">
        <v>85</v>
      </c>
      <c r="G15" s="2">
        <v>45</v>
      </c>
      <c r="H15" s="2"/>
      <c r="I15" s="2"/>
      <c r="J15" s="2">
        <v>27</v>
      </c>
      <c r="K15" s="2">
        <v>1</v>
      </c>
      <c r="L15" s="2"/>
      <c r="M15" s="2"/>
      <c r="N15" s="3" t="s">
        <v>121</v>
      </c>
      <c r="O15" s="1" t="s">
        <v>77</v>
      </c>
      <c r="P15" s="4">
        <f t="shared" si="2"/>
        <v>142.52000000000001</v>
      </c>
      <c r="Q15" s="4">
        <f t="shared" si="3"/>
        <v>142.52000000000001</v>
      </c>
      <c r="R15" s="4"/>
      <c r="S15" s="4"/>
    </row>
    <row r="16" spans="1:19" ht="15" customHeight="1" x14ac:dyDescent="0.15">
      <c r="A16" s="62" t="s">
        <v>824</v>
      </c>
      <c r="B16" s="11">
        <v>272</v>
      </c>
      <c r="C16" s="11">
        <v>74</v>
      </c>
      <c r="D16" s="11">
        <v>74</v>
      </c>
      <c r="E16" s="11"/>
      <c r="F16" s="11">
        <v>105</v>
      </c>
      <c r="G16" s="11">
        <v>57</v>
      </c>
      <c r="H16" s="11">
        <v>65</v>
      </c>
      <c r="I16" s="11"/>
      <c r="J16" s="11"/>
      <c r="K16" s="11">
        <v>1</v>
      </c>
      <c r="L16" s="11"/>
      <c r="M16" s="11"/>
      <c r="N16" s="63" t="s">
        <v>734</v>
      </c>
      <c r="O16" s="62" t="s">
        <v>825</v>
      </c>
      <c r="P16" s="64">
        <f t="shared" si="2"/>
        <v>226.54</v>
      </c>
      <c r="Q16" s="64">
        <f t="shared" si="3"/>
        <v>226.54</v>
      </c>
      <c r="R16" s="4"/>
      <c r="S16" s="4"/>
    </row>
    <row r="17" spans="1:19" ht="15" customHeight="1" x14ac:dyDescent="0.15">
      <c r="A17" s="62" t="s">
        <v>826</v>
      </c>
      <c r="B17" s="11">
        <v>272</v>
      </c>
      <c r="C17" s="11">
        <v>74</v>
      </c>
      <c r="D17" s="11">
        <v>74</v>
      </c>
      <c r="E17" s="11">
        <v>65</v>
      </c>
      <c r="F17" s="11">
        <v>105</v>
      </c>
      <c r="G17" s="11">
        <v>57</v>
      </c>
      <c r="H17" s="11"/>
      <c r="I17" s="11"/>
      <c r="J17" s="11"/>
      <c r="K17" s="11">
        <v>1</v>
      </c>
      <c r="L17" s="11"/>
      <c r="M17" s="11"/>
      <c r="N17" s="63" t="s">
        <v>734</v>
      </c>
      <c r="O17" s="62" t="s">
        <v>825</v>
      </c>
      <c r="P17" s="64">
        <f t="shared" si="2"/>
        <v>215.49</v>
      </c>
      <c r="Q17" s="64">
        <f t="shared" si="3"/>
        <v>215.49</v>
      </c>
      <c r="R17" s="4"/>
      <c r="S17" s="4"/>
    </row>
    <row r="18" spans="1:19" ht="15" customHeight="1" x14ac:dyDescent="0.15">
      <c r="A18" s="62" t="s">
        <v>827</v>
      </c>
      <c r="B18" s="11">
        <v>258</v>
      </c>
      <c r="C18" s="11">
        <v>65</v>
      </c>
      <c r="D18" s="11">
        <v>65</v>
      </c>
      <c r="E18" s="11"/>
      <c r="F18" s="11">
        <v>91</v>
      </c>
      <c r="G18" s="11">
        <v>57</v>
      </c>
      <c r="H18" s="11"/>
      <c r="I18" s="11">
        <v>49</v>
      </c>
      <c r="J18" s="11"/>
      <c r="K18" s="11"/>
      <c r="L18" s="11">
        <v>1</v>
      </c>
      <c r="M18" s="11"/>
      <c r="N18" s="63" t="s">
        <v>734</v>
      </c>
      <c r="O18" s="62" t="s">
        <v>828</v>
      </c>
      <c r="P18" s="64">
        <f t="shared" si="2"/>
        <v>161.16</v>
      </c>
      <c r="Q18" s="64">
        <f t="shared" si="3"/>
        <v>253.27999999999997</v>
      </c>
      <c r="R18" s="4"/>
      <c r="S18" s="4"/>
    </row>
    <row r="19" spans="1:19" ht="15" customHeight="1" x14ac:dyDescent="0.15">
      <c r="A19" s="62" t="s">
        <v>829</v>
      </c>
      <c r="B19" s="11">
        <v>258</v>
      </c>
      <c r="C19" s="11">
        <v>65</v>
      </c>
      <c r="D19" s="11">
        <v>65</v>
      </c>
      <c r="E19" s="11">
        <v>57</v>
      </c>
      <c r="F19" s="11">
        <v>91</v>
      </c>
      <c r="G19" s="11">
        <v>49</v>
      </c>
      <c r="H19" s="11"/>
      <c r="I19" s="11"/>
      <c r="J19" s="11"/>
      <c r="K19" s="11"/>
      <c r="L19" s="11">
        <v>1</v>
      </c>
      <c r="M19" s="11"/>
      <c r="N19" s="63" t="s">
        <v>734</v>
      </c>
      <c r="O19" s="62" t="s">
        <v>828</v>
      </c>
      <c r="P19" s="64">
        <f t="shared" si="2"/>
        <v>186.95</v>
      </c>
      <c r="Q19" s="64">
        <f t="shared" si="3"/>
        <v>186.95</v>
      </c>
      <c r="R19" s="4"/>
      <c r="S19" s="4"/>
    </row>
    <row r="20" spans="1:19" ht="15" customHeight="1" x14ac:dyDescent="0.15">
      <c r="A20" s="62" t="s">
        <v>830</v>
      </c>
      <c r="B20" s="11">
        <v>258</v>
      </c>
      <c r="C20" s="11">
        <v>65</v>
      </c>
      <c r="D20" s="11">
        <v>65</v>
      </c>
      <c r="E20" s="11"/>
      <c r="F20" s="11">
        <v>91</v>
      </c>
      <c r="G20" s="11"/>
      <c r="H20" s="11">
        <v>49</v>
      </c>
      <c r="I20" s="11"/>
      <c r="J20" s="11">
        <v>28</v>
      </c>
      <c r="K20" s="11"/>
      <c r="L20" s="11"/>
      <c r="M20" s="11">
        <v>1</v>
      </c>
      <c r="N20" s="63" t="s">
        <v>734</v>
      </c>
      <c r="O20" s="62" t="s">
        <v>828</v>
      </c>
      <c r="P20" s="64">
        <f t="shared" si="2"/>
        <v>142.54</v>
      </c>
      <c r="Q20" s="64">
        <f t="shared" si="3"/>
        <v>142.54</v>
      </c>
      <c r="R20" s="4"/>
      <c r="S20" s="4"/>
    </row>
    <row r="21" spans="1:19" ht="15" customHeight="1" x14ac:dyDescent="0.15">
      <c r="A21" s="62" t="s">
        <v>831</v>
      </c>
      <c r="B21" s="11">
        <v>258</v>
      </c>
      <c r="C21" s="11">
        <v>65</v>
      </c>
      <c r="D21" s="11">
        <v>65</v>
      </c>
      <c r="E21" s="11"/>
      <c r="F21" s="11">
        <v>91</v>
      </c>
      <c r="G21" s="11">
        <v>49</v>
      </c>
      <c r="H21" s="11">
        <v>57</v>
      </c>
      <c r="I21" s="11"/>
      <c r="J21" s="11"/>
      <c r="K21" s="11"/>
      <c r="L21" s="11"/>
      <c r="M21" s="11">
        <v>1</v>
      </c>
      <c r="N21" s="63" t="s">
        <v>734</v>
      </c>
      <c r="O21" s="62" t="s">
        <v>832</v>
      </c>
      <c r="P21" s="64">
        <f t="shared" si="2"/>
        <v>196.64</v>
      </c>
      <c r="Q21" s="64">
        <f t="shared" si="3"/>
        <v>196.64</v>
      </c>
      <c r="R21" s="4"/>
      <c r="S21" s="4"/>
    </row>
    <row r="22" spans="1:19" ht="15" customHeight="1" x14ac:dyDescent="0.15">
      <c r="A22" s="62" t="s">
        <v>833</v>
      </c>
      <c r="B22" s="11">
        <v>258</v>
      </c>
      <c r="C22" s="11">
        <v>65</v>
      </c>
      <c r="D22" s="11">
        <v>65</v>
      </c>
      <c r="E22" s="11">
        <v>57</v>
      </c>
      <c r="F22" s="11">
        <v>91</v>
      </c>
      <c r="G22" s="11">
        <v>49</v>
      </c>
      <c r="H22" s="11"/>
      <c r="I22" s="11"/>
      <c r="J22" s="11"/>
      <c r="K22" s="11">
        <v>1</v>
      </c>
      <c r="L22" s="11"/>
      <c r="M22" s="11"/>
      <c r="N22" s="63" t="s">
        <v>734</v>
      </c>
      <c r="O22" s="62" t="s">
        <v>832</v>
      </c>
      <c r="P22" s="64">
        <f t="shared" si="2"/>
        <v>186.95</v>
      </c>
      <c r="Q22" s="64">
        <f t="shared" si="3"/>
        <v>186.95</v>
      </c>
      <c r="R22" s="4"/>
      <c r="S22" s="4"/>
    </row>
    <row r="23" spans="1:19" ht="15" customHeight="1" x14ac:dyDescent="0.15">
      <c r="A23" s="62" t="s">
        <v>834</v>
      </c>
      <c r="B23" s="11">
        <v>245</v>
      </c>
      <c r="C23" s="11">
        <v>58</v>
      </c>
      <c r="D23" s="11">
        <v>58</v>
      </c>
      <c r="E23" s="11"/>
      <c r="F23" s="11">
        <v>89</v>
      </c>
      <c r="G23" s="11">
        <v>50</v>
      </c>
      <c r="H23" s="11"/>
      <c r="I23" s="11">
        <v>50</v>
      </c>
      <c r="J23" s="11"/>
      <c r="K23" s="11"/>
      <c r="L23" s="11"/>
      <c r="M23" s="11"/>
      <c r="N23" s="63"/>
      <c r="O23" s="62" t="s">
        <v>828</v>
      </c>
      <c r="P23" s="64">
        <f t="shared" si="2"/>
        <v>150.76</v>
      </c>
      <c r="Q23" s="64">
        <f t="shared" si="3"/>
        <v>244.76</v>
      </c>
      <c r="R23" s="4"/>
      <c r="S23" s="4"/>
    </row>
    <row r="24" spans="1:19" ht="15" customHeight="1" x14ac:dyDescent="0.15">
      <c r="A24" s="62" t="s">
        <v>835</v>
      </c>
      <c r="B24" s="11">
        <v>245</v>
      </c>
      <c r="C24" s="11">
        <v>58</v>
      </c>
      <c r="D24" s="11">
        <v>58</v>
      </c>
      <c r="E24" s="11">
        <v>50</v>
      </c>
      <c r="F24" s="11">
        <v>89</v>
      </c>
      <c r="G24" s="11">
        <v>50</v>
      </c>
      <c r="H24" s="11"/>
      <c r="I24" s="11"/>
      <c r="J24" s="11"/>
      <c r="K24" s="11"/>
      <c r="L24" s="11"/>
      <c r="M24" s="11"/>
      <c r="N24" s="63"/>
      <c r="O24" s="62" t="s">
        <v>828</v>
      </c>
      <c r="P24" s="64">
        <f t="shared" si="2"/>
        <v>180.26</v>
      </c>
      <c r="Q24" s="64">
        <f t="shared" si="3"/>
        <v>180.26</v>
      </c>
      <c r="R24" s="4"/>
      <c r="S24" s="4"/>
    </row>
    <row r="25" spans="1:19" ht="15" customHeight="1" x14ac:dyDescent="0.15">
      <c r="A25" s="62" t="s">
        <v>836</v>
      </c>
      <c r="B25" s="11">
        <v>245</v>
      </c>
      <c r="C25" s="11">
        <v>58</v>
      </c>
      <c r="D25" s="11">
        <v>58</v>
      </c>
      <c r="E25" s="11"/>
      <c r="F25" s="11">
        <v>89</v>
      </c>
      <c r="G25" s="11"/>
      <c r="H25" s="11">
        <v>50</v>
      </c>
      <c r="I25" s="11"/>
      <c r="J25" s="11">
        <v>25</v>
      </c>
      <c r="K25" s="11"/>
      <c r="L25" s="11"/>
      <c r="M25" s="11"/>
      <c r="N25" s="63"/>
      <c r="O25" s="62" t="s">
        <v>828</v>
      </c>
      <c r="P25" s="64">
        <f t="shared" si="2"/>
        <v>139.76</v>
      </c>
      <c r="Q25" s="64">
        <f t="shared" si="3"/>
        <v>139.76</v>
      </c>
      <c r="R25" s="4"/>
      <c r="S25" s="4"/>
    </row>
    <row r="26" spans="1:19" ht="15" customHeight="1" x14ac:dyDescent="0.15">
      <c r="A26" s="62" t="s">
        <v>837</v>
      </c>
      <c r="B26" s="11">
        <v>245</v>
      </c>
      <c r="C26" s="11">
        <v>66</v>
      </c>
      <c r="D26" s="11">
        <v>54</v>
      </c>
      <c r="E26" s="11"/>
      <c r="F26" s="11">
        <v>89</v>
      </c>
      <c r="G26" s="11">
        <v>35</v>
      </c>
      <c r="H26" s="11">
        <v>50</v>
      </c>
      <c r="I26" s="11"/>
      <c r="J26" s="11"/>
      <c r="K26" s="11"/>
      <c r="L26" s="11"/>
      <c r="M26" s="11"/>
      <c r="N26" s="63"/>
      <c r="O26" s="62" t="s">
        <v>838</v>
      </c>
      <c r="P26" s="64">
        <f t="shared" si="2"/>
        <v>173.18</v>
      </c>
      <c r="Q26" s="64">
        <f t="shared" si="3"/>
        <v>173.18</v>
      </c>
      <c r="R26" s="4"/>
      <c r="S26" s="4"/>
    </row>
    <row r="27" spans="1:19" ht="15" customHeight="1" x14ac:dyDescent="0.15">
      <c r="A27" s="62" t="s">
        <v>839</v>
      </c>
      <c r="B27" s="11">
        <v>264</v>
      </c>
      <c r="C27" s="11">
        <v>103</v>
      </c>
      <c r="D27" s="11">
        <v>46</v>
      </c>
      <c r="E27" s="11"/>
      <c r="F27" s="11">
        <v>106</v>
      </c>
      <c r="G27" s="11">
        <v>60</v>
      </c>
      <c r="H27" s="11"/>
      <c r="I27" s="11"/>
      <c r="J27" s="11"/>
      <c r="K27" s="11"/>
      <c r="L27" s="11"/>
      <c r="M27" s="11"/>
      <c r="N27" s="63"/>
      <c r="O27" s="62" t="s">
        <v>805</v>
      </c>
      <c r="P27" s="64">
        <f t="shared" si="2"/>
        <v>174.92000000000002</v>
      </c>
      <c r="Q27" s="64">
        <f t="shared" si="3"/>
        <v>174.92000000000002</v>
      </c>
      <c r="R27" s="4"/>
      <c r="S27" s="4"/>
    </row>
    <row r="28" spans="1:19" ht="15" customHeight="1" x14ac:dyDescent="0.15">
      <c r="A28" s="62" t="s">
        <v>840</v>
      </c>
      <c r="B28" s="11">
        <v>264</v>
      </c>
      <c r="C28" s="11">
        <v>103</v>
      </c>
      <c r="D28" s="11">
        <v>46</v>
      </c>
      <c r="E28" s="11"/>
      <c r="F28" s="11">
        <v>106</v>
      </c>
      <c r="G28" s="11"/>
      <c r="H28" s="11">
        <v>60</v>
      </c>
      <c r="I28" s="11"/>
      <c r="J28" s="11"/>
      <c r="K28" s="11"/>
      <c r="L28" s="11"/>
      <c r="M28" s="11"/>
      <c r="N28" s="63"/>
      <c r="O28" s="62" t="s">
        <v>805</v>
      </c>
      <c r="P28" s="64">
        <f t="shared" si="2"/>
        <v>161.72</v>
      </c>
      <c r="Q28" s="64">
        <f t="shared" si="3"/>
        <v>161.72</v>
      </c>
      <c r="R28" s="4"/>
      <c r="S28" s="4"/>
    </row>
    <row r="29" spans="1:19" ht="15" customHeight="1" x14ac:dyDescent="0.15">
      <c r="A29" s="62" t="s">
        <v>841</v>
      </c>
      <c r="B29" s="11">
        <v>264</v>
      </c>
      <c r="C29" s="11">
        <v>103</v>
      </c>
      <c r="D29" s="11">
        <v>46</v>
      </c>
      <c r="E29" s="11"/>
      <c r="F29" s="11">
        <v>106</v>
      </c>
      <c r="G29" s="11"/>
      <c r="H29" s="11"/>
      <c r="I29" s="11">
        <v>60</v>
      </c>
      <c r="J29" s="11"/>
      <c r="K29" s="11"/>
      <c r="L29" s="11"/>
      <c r="M29" s="11"/>
      <c r="N29" s="63"/>
      <c r="O29" s="62" t="s">
        <v>805</v>
      </c>
      <c r="P29" s="64">
        <f t="shared" si="2"/>
        <v>116.12</v>
      </c>
      <c r="Q29" s="64">
        <f t="shared" si="3"/>
        <v>228.92000000000002</v>
      </c>
      <c r="R29" s="4"/>
      <c r="S29" s="4"/>
    </row>
    <row r="30" spans="1:19" ht="15" customHeight="1" x14ac:dyDescent="0.15">
      <c r="A30" s="62" t="s">
        <v>842</v>
      </c>
      <c r="B30" s="11">
        <v>264</v>
      </c>
      <c r="C30" s="11">
        <v>103</v>
      </c>
      <c r="D30" s="11">
        <v>46</v>
      </c>
      <c r="E30" s="11">
        <v>60</v>
      </c>
      <c r="F30" s="11">
        <v>106</v>
      </c>
      <c r="G30" s="11"/>
      <c r="H30" s="11"/>
      <c r="I30" s="11"/>
      <c r="J30" s="11"/>
      <c r="K30" s="11"/>
      <c r="L30" s="11"/>
      <c r="M30" s="11"/>
      <c r="N30" s="63"/>
      <c r="O30" s="62" t="s">
        <v>805</v>
      </c>
      <c r="P30" s="64">
        <f t="shared" si="2"/>
        <v>151.51999999999998</v>
      </c>
      <c r="Q30" s="64">
        <f t="shared" si="3"/>
        <v>151.51999999999998</v>
      </c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51"/>
  <sheetViews>
    <sheetView workbookViewId="0">
      <selection activeCell="A28" sqref="A28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314</v>
      </c>
      <c r="B2" s="2">
        <v>277</v>
      </c>
      <c r="C2" s="2">
        <v>139</v>
      </c>
      <c r="D2" s="2">
        <v>139</v>
      </c>
      <c r="E2" s="2"/>
      <c r="F2" s="2">
        <v>195</v>
      </c>
      <c r="G2" s="2">
        <v>114</v>
      </c>
      <c r="H2" s="2">
        <v>114</v>
      </c>
      <c r="I2" s="2"/>
      <c r="J2" s="2"/>
      <c r="K2" s="2">
        <v>1</v>
      </c>
      <c r="L2" s="2">
        <v>1</v>
      </c>
      <c r="M2" s="2"/>
      <c r="N2" s="3" t="s">
        <v>128</v>
      </c>
      <c r="O2" s="3" t="s">
        <v>79</v>
      </c>
      <c r="P2" s="4">
        <f t="shared" ref="P2:P15" si="0">D2*0.22+E2*0.59+F2*1+G2*0.98+H2*0.76</f>
        <v>423.94</v>
      </c>
      <c r="Q2" s="4">
        <f t="shared" ref="Q2:Q15" si="1">P2+I2*1.88</f>
        <v>423.94</v>
      </c>
    </row>
    <row r="3" spans="1:19" ht="15" customHeight="1" x14ac:dyDescent="0.15">
      <c r="A3" s="3" t="s">
        <v>315</v>
      </c>
      <c r="B3" s="2">
        <v>277</v>
      </c>
      <c r="C3" s="2">
        <v>139</v>
      </c>
      <c r="D3" s="2">
        <v>139</v>
      </c>
      <c r="E3" s="2">
        <v>114</v>
      </c>
      <c r="F3" s="2">
        <v>195</v>
      </c>
      <c r="G3" s="2"/>
      <c r="H3" s="2">
        <v>114</v>
      </c>
      <c r="I3" s="2"/>
      <c r="J3" s="2"/>
      <c r="K3" s="2">
        <v>1</v>
      </c>
      <c r="L3" s="2">
        <v>1</v>
      </c>
      <c r="M3" s="2"/>
      <c r="N3" s="3" t="s">
        <v>128</v>
      </c>
      <c r="O3" s="3" t="s">
        <v>81</v>
      </c>
      <c r="P3" s="4">
        <f t="shared" si="0"/>
        <v>379.47999999999996</v>
      </c>
      <c r="Q3" s="4">
        <f t="shared" si="1"/>
        <v>379.47999999999996</v>
      </c>
    </row>
    <row r="4" spans="1:19" ht="15" customHeight="1" x14ac:dyDescent="0.15">
      <c r="A4" s="3" t="s">
        <v>316</v>
      </c>
      <c r="B4" s="2">
        <v>277</v>
      </c>
      <c r="C4" s="2">
        <v>139</v>
      </c>
      <c r="D4" s="2">
        <v>139</v>
      </c>
      <c r="E4" s="2"/>
      <c r="F4" s="2">
        <v>186</v>
      </c>
      <c r="G4" s="2"/>
      <c r="H4" s="2">
        <v>122</v>
      </c>
      <c r="I4" s="2">
        <v>98</v>
      </c>
      <c r="J4" s="2"/>
      <c r="K4" s="2">
        <v>1</v>
      </c>
      <c r="L4" s="2">
        <v>1</v>
      </c>
      <c r="M4" s="2">
        <v>1</v>
      </c>
      <c r="N4" s="3" t="s">
        <v>18</v>
      </c>
      <c r="O4" s="3" t="s">
        <v>68</v>
      </c>
      <c r="P4" s="4">
        <f t="shared" si="0"/>
        <v>309.3</v>
      </c>
      <c r="Q4" s="4">
        <f t="shared" si="1"/>
        <v>493.53999999999996</v>
      </c>
      <c r="R4" s="4"/>
      <c r="S4" s="4"/>
    </row>
    <row r="5" spans="1:19" ht="15" customHeight="1" x14ac:dyDescent="0.15">
      <c r="A5" s="3" t="s">
        <v>317</v>
      </c>
      <c r="B5" s="2">
        <v>277</v>
      </c>
      <c r="C5" s="2">
        <v>139</v>
      </c>
      <c r="D5" s="2">
        <v>139</v>
      </c>
      <c r="E5" s="2">
        <v>122</v>
      </c>
      <c r="F5" s="2">
        <v>186</v>
      </c>
      <c r="G5" s="2">
        <v>98</v>
      </c>
      <c r="H5" s="2"/>
      <c r="I5" s="2"/>
      <c r="J5" s="2"/>
      <c r="K5" s="2">
        <v>1</v>
      </c>
      <c r="L5" s="2">
        <v>1</v>
      </c>
      <c r="M5" s="2">
        <v>1</v>
      </c>
      <c r="N5" s="3" t="s">
        <v>18</v>
      </c>
      <c r="O5" s="3" t="s">
        <v>61</v>
      </c>
      <c r="P5" s="4">
        <f t="shared" si="0"/>
        <v>384.6</v>
      </c>
      <c r="Q5" s="4">
        <f t="shared" si="1"/>
        <v>384.6</v>
      </c>
      <c r="R5" s="4"/>
      <c r="S5" s="4"/>
    </row>
    <row r="6" spans="1:19" ht="15" customHeight="1" x14ac:dyDescent="0.15">
      <c r="A6" s="3" t="s">
        <v>127</v>
      </c>
      <c r="B6" s="2">
        <v>264</v>
      </c>
      <c r="C6" s="2">
        <v>123</v>
      </c>
      <c r="D6" s="2">
        <v>123</v>
      </c>
      <c r="E6" s="2"/>
      <c r="F6" s="2">
        <v>171</v>
      </c>
      <c r="G6" s="2">
        <v>100</v>
      </c>
      <c r="H6" s="2">
        <v>100</v>
      </c>
      <c r="I6" s="2"/>
      <c r="J6" s="2"/>
      <c r="K6" s="2">
        <v>1</v>
      </c>
      <c r="L6" s="2">
        <v>1</v>
      </c>
      <c r="M6" s="2"/>
      <c r="N6" s="3" t="s">
        <v>128</v>
      </c>
      <c r="O6" s="3" t="s">
        <v>85</v>
      </c>
      <c r="P6" s="4">
        <f t="shared" si="0"/>
        <v>372.06</v>
      </c>
      <c r="Q6" s="4">
        <f t="shared" si="1"/>
        <v>372.06</v>
      </c>
      <c r="R6" s="4"/>
      <c r="S6" s="4"/>
    </row>
    <row r="7" spans="1:19" ht="15" customHeight="1" x14ac:dyDescent="0.15">
      <c r="A7" s="3" t="s">
        <v>129</v>
      </c>
      <c r="B7" s="2">
        <v>264</v>
      </c>
      <c r="C7" s="2">
        <v>123</v>
      </c>
      <c r="D7" s="2">
        <v>123</v>
      </c>
      <c r="E7" s="2">
        <v>100</v>
      </c>
      <c r="F7" s="2">
        <v>171</v>
      </c>
      <c r="G7" s="2"/>
      <c r="H7" s="2">
        <v>100</v>
      </c>
      <c r="I7" s="2"/>
      <c r="J7" s="2"/>
      <c r="K7" s="2">
        <v>1</v>
      </c>
      <c r="L7" s="2">
        <v>1</v>
      </c>
      <c r="M7" s="2"/>
      <c r="N7" s="3" t="s">
        <v>128</v>
      </c>
      <c r="O7" s="3" t="s">
        <v>86</v>
      </c>
      <c r="P7" s="4">
        <f t="shared" si="0"/>
        <v>333.06</v>
      </c>
      <c r="Q7" s="4">
        <f t="shared" si="1"/>
        <v>333.06</v>
      </c>
      <c r="R7" s="4"/>
      <c r="S7" s="4"/>
    </row>
    <row r="8" spans="1:19" ht="15" customHeight="1" x14ac:dyDescent="0.15">
      <c r="A8" s="3" t="s">
        <v>318</v>
      </c>
      <c r="B8" s="2">
        <v>264</v>
      </c>
      <c r="C8" s="2">
        <v>123</v>
      </c>
      <c r="D8" s="2">
        <v>115</v>
      </c>
      <c r="E8" s="2"/>
      <c r="F8" s="2">
        <v>162</v>
      </c>
      <c r="G8" s="2">
        <v>108</v>
      </c>
      <c r="H8" s="2">
        <v>87</v>
      </c>
      <c r="I8" s="2"/>
      <c r="J8" s="2"/>
      <c r="K8" s="2">
        <v>2</v>
      </c>
      <c r="L8" s="2">
        <v>1</v>
      </c>
      <c r="M8" s="2"/>
      <c r="N8" s="3" t="s">
        <v>18</v>
      </c>
      <c r="O8" s="3" t="s">
        <v>46</v>
      </c>
      <c r="P8" s="4">
        <f t="shared" si="0"/>
        <v>359.26</v>
      </c>
      <c r="Q8" s="4">
        <f t="shared" si="1"/>
        <v>359.26</v>
      </c>
      <c r="R8" s="4"/>
      <c r="S8" s="4"/>
    </row>
    <row r="9" spans="1:19" ht="15" customHeight="1" x14ac:dyDescent="0.15">
      <c r="A9" s="3" t="s">
        <v>319</v>
      </c>
      <c r="B9" s="2">
        <v>264</v>
      </c>
      <c r="C9" s="2">
        <v>123</v>
      </c>
      <c r="D9" s="2">
        <v>123</v>
      </c>
      <c r="E9" s="2">
        <v>90</v>
      </c>
      <c r="F9" s="2">
        <v>162</v>
      </c>
      <c r="G9" s="2">
        <v>102</v>
      </c>
      <c r="H9" s="2"/>
      <c r="I9" s="2"/>
      <c r="J9" s="2"/>
      <c r="K9" s="2">
        <v>2</v>
      </c>
      <c r="L9" s="2">
        <v>1</v>
      </c>
      <c r="M9" s="2"/>
      <c r="N9" s="3" t="s">
        <v>18</v>
      </c>
      <c r="O9" s="3" t="s">
        <v>74</v>
      </c>
      <c r="P9" s="4">
        <f t="shared" si="0"/>
        <v>342.12</v>
      </c>
      <c r="Q9" s="4">
        <f t="shared" si="1"/>
        <v>342.12</v>
      </c>
      <c r="R9" s="4"/>
      <c r="S9" s="4"/>
    </row>
    <row r="10" spans="1:19" ht="15" customHeight="1" x14ac:dyDescent="0.15">
      <c r="A10" s="3" t="s">
        <v>130</v>
      </c>
      <c r="B10" s="2">
        <v>264</v>
      </c>
      <c r="C10" s="2">
        <v>123</v>
      </c>
      <c r="D10" s="2">
        <v>123</v>
      </c>
      <c r="E10" s="2"/>
      <c r="F10" s="2">
        <v>162</v>
      </c>
      <c r="G10" s="2"/>
      <c r="H10" s="2">
        <v>108</v>
      </c>
      <c r="I10" s="2">
        <v>84</v>
      </c>
      <c r="J10" s="2"/>
      <c r="K10" s="2">
        <v>1</v>
      </c>
      <c r="L10" s="2">
        <v>1</v>
      </c>
      <c r="M10" s="2">
        <v>1</v>
      </c>
      <c r="N10" s="3" t="s">
        <v>18</v>
      </c>
      <c r="O10" s="3" t="s">
        <v>75</v>
      </c>
      <c r="P10" s="4">
        <f t="shared" si="0"/>
        <v>271.14</v>
      </c>
      <c r="Q10" s="4">
        <f t="shared" si="1"/>
        <v>429.05999999999995</v>
      </c>
      <c r="R10" s="4"/>
      <c r="S10" s="4"/>
    </row>
    <row r="11" spans="1:19" ht="15" customHeight="1" x14ac:dyDescent="0.15">
      <c r="A11" s="3" t="s">
        <v>131</v>
      </c>
      <c r="B11" s="2">
        <v>264</v>
      </c>
      <c r="C11" s="2">
        <v>123</v>
      </c>
      <c r="D11" s="2">
        <v>123</v>
      </c>
      <c r="E11" s="2">
        <v>108</v>
      </c>
      <c r="F11" s="2">
        <v>162</v>
      </c>
      <c r="G11" s="2">
        <v>84</v>
      </c>
      <c r="H11" s="2"/>
      <c r="I11" s="2"/>
      <c r="J11" s="2"/>
      <c r="K11" s="2">
        <v>1</v>
      </c>
      <c r="L11" s="2">
        <v>1</v>
      </c>
      <c r="M11" s="2">
        <v>1</v>
      </c>
      <c r="N11" s="3" t="s">
        <v>18</v>
      </c>
      <c r="O11" s="3" t="s">
        <v>65</v>
      </c>
      <c r="P11" s="4">
        <f t="shared" si="0"/>
        <v>335.1</v>
      </c>
      <c r="Q11" s="4">
        <f t="shared" si="1"/>
        <v>335.1</v>
      </c>
      <c r="R11" s="4"/>
      <c r="S11" s="4"/>
    </row>
    <row r="12" spans="1:19" ht="15" customHeight="1" x14ac:dyDescent="0.15">
      <c r="A12" s="3" t="s">
        <v>134</v>
      </c>
      <c r="B12" s="2">
        <v>264</v>
      </c>
      <c r="C12" s="2">
        <v>123</v>
      </c>
      <c r="D12" s="2">
        <v>123</v>
      </c>
      <c r="E12" s="2"/>
      <c r="F12" s="2">
        <v>162</v>
      </c>
      <c r="G12" s="2">
        <v>108</v>
      </c>
      <c r="H12" s="2">
        <v>84</v>
      </c>
      <c r="I12" s="2"/>
      <c r="J12" s="2"/>
      <c r="K12" s="2">
        <v>1</v>
      </c>
      <c r="L12" s="2">
        <v>1</v>
      </c>
      <c r="M12" s="2">
        <v>1</v>
      </c>
      <c r="N12" s="3" t="s">
        <v>84</v>
      </c>
      <c r="O12" s="3" t="s">
        <v>135</v>
      </c>
      <c r="P12" s="4">
        <f t="shared" si="0"/>
        <v>358.74</v>
      </c>
      <c r="Q12" s="4">
        <f t="shared" si="1"/>
        <v>358.74</v>
      </c>
      <c r="R12" s="4"/>
      <c r="S12" s="4"/>
    </row>
    <row r="13" spans="1:19" ht="15" customHeight="1" x14ac:dyDescent="0.15">
      <c r="A13" s="3" t="s">
        <v>136</v>
      </c>
      <c r="B13" s="2">
        <v>264</v>
      </c>
      <c r="C13" s="2">
        <v>123</v>
      </c>
      <c r="D13" s="2">
        <v>123</v>
      </c>
      <c r="E13" s="2">
        <v>84</v>
      </c>
      <c r="F13" s="2">
        <v>162</v>
      </c>
      <c r="G13" s="2"/>
      <c r="H13" s="2">
        <v>108</v>
      </c>
      <c r="I13" s="2"/>
      <c r="J13" s="2"/>
      <c r="K13" s="2">
        <v>1</v>
      </c>
      <c r="L13" s="2">
        <v>1</v>
      </c>
      <c r="M13" s="2">
        <v>1</v>
      </c>
      <c r="N13" s="3" t="s">
        <v>84</v>
      </c>
      <c r="O13" s="3" t="s">
        <v>135</v>
      </c>
      <c r="P13" s="4">
        <f t="shared" si="0"/>
        <v>320.7</v>
      </c>
      <c r="Q13" s="4">
        <f t="shared" si="1"/>
        <v>320.7</v>
      </c>
      <c r="R13" s="4"/>
      <c r="S13" s="4"/>
    </row>
    <row r="14" spans="1:19" ht="15" customHeight="1" x14ac:dyDescent="0.15">
      <c r="A14" s="3" t="s">
        <v>137</v>
      </c>
      <c r="B14" s="2">
        <v>251</v>
      </c>
      <c r="C14" s="2">
        <v>109</v>
      </c>
      <c r="D14" s="2">
        <v>109</v>
      </c>
      <c r="E14" s="2"/>
      <c r="F14" s="2">
        <v>149</v>
      </c>
      <c r="G14" s="2">
        <v>88</v>
      </c>
      <c r="H14" s="2">
        <v>88</v>
      </c>
      <c r="I14" s="2"/>
      <c r="J14" s="2"/>
      <c r="K14" s="2">
        <v>1</v>
      </c>
      <c r="L14" s="2">
        <v>1</v>
      </c>
      <c r="M14" s="2"/>
      <c r="N14" s="3" t="s">
        <v>128</v>
      </c>
      <c r="O14" s="3" t="s">
        <v>89</v>
      </c>
      <c r="P14" s="4">
        <f t="shared" si="0"/>
        <v>326.09999999999997</v>
      </c>
      <c r="Q14" s="4">
        <f t="shared" si="1"/>
        <v>326.09999999999997</v>
      </c>
      <c r="R14" s="4"/>
      <c r="S14" s="4"/>
    </row>
    <row r="15" spans="1:19" ht="15" customHeight="1" x14ac:dyDescent="0.15">
      <c r="A15" s="3" t="s">
        <v>138</v>
      </c>
      <c r="B15" s="2">
        <v>251</v>
      </c>
      <c r="C15" s="2">
        <v>109</v>
      </c>
      <c r="D15" s="2">
        <v>109</v>
      </c>
      <c r="E15" s="2">
        <v>88</v>
      </c>
      <c r="F15" s="2">
        <v>149</v>
      </c>
      <c r="G15" s="2"/>
      <c r="H15" s="2">
        <v>88</v>
      </c>
      <c r="I15" s="2"/>
      <c r="J15" s="2"/>
      <c r="K15" s="2">
        <v>1</v>
      </c>
      <c r="L15" s="2">
        <v>1</v>
      </c>
      <c r="M15" s="2"/>
      <c r="N15" s="3" t="s">
        <v>128</v>
      </c>
      <c r="O15" s="3" t="s">
        <v>90</v>
      </c>
      <c r="P15" s="4">
        <f t="shared" si="0"/>
        <v>291.77999999999997</v>
      </c>
      <c r="Q15" s="4">
        <f t="shared" si="1"/>
        <v>291.77999999999997</v>
      </c>
      <c r="R15" s="4"/>
      <c r="S15" s="4"/>
    </row>
    <row r="16" spans="1:19" ht="15" customHeight="1" x14ac:dyDescent="0.15">
      <c r="A16" s="3" t="s">
        <v>132</v>
      </c>
      <c r="B16" s="2">
        <v>251</v>
      </c>
      <c r="C16" s="2">
        <v>109</v>
      </c>
      <c r="D16" s="2">
        <v>101</v>
      </c>
      <c r="E16" s="2"/>
      <c r="F16" s="2">
        <v>140</v>
      </c>
      <c r="G16" s="2">
        <v>95</v>
      </c>
      <c r="H16" s="2">
        <v>76</v>
      </c>
      <c r="I16" s="2"/>
      <c r="J16" s="2"/>
      <c r="K16" s="2">
        <v>2</v>
      </c>
      <c r="L16" s="2">
        <v>1</v>
      </c>
      <c r="M16" s="2"/>
      <c r="N16" s="3" t="s">
        <v>18</v>
      </c>
      <c r="O16" s="3" t="s">
        <v>55</v>
      </c>
      <c r="P16" s="4">
        <f t="shared" ref="P16:P28" si="2">D16*0.22+E16*0.59+F16*1+G16*0.98+H16*0.76</f>
        <v>313.08</v>
      </c>
      <c r="Q16" s="4">
        <f t="shared" ref="Q16:Q28" si="3">P16+I16*1.88</f>
        <v>313.08</v>
      </c>
      <c r="R16" s="4"/>
      <c r="S16" s="4"/>
    </row>
    <row r="17" spans="1:19" ht="15" customHeight="1" x14ac:dyDescent="0.15">
      <c r="A17" s="3" t="s">
        <v>133</v>
      </c>
      <c r="B17" s="2">
        <v>251</v>
      </c>
      <c r="C17" s="2">
        <v>109</v>
      </c>
      <c r="D17" s="2">
        <v>109</v>
      </c>
      <c r="E17" s="2">
        <v>78</v>
      </c>
      <c r="F17" s="2">
        <v>140</v>
      </c>
      <c r="G17" s="2">
        <v>90</v>
      </c>
      <c r="H17" s="2"/>
      <c r="I17" s="2"/>
      <c r="J17" s="2"/>
      <c r="K17" s="2">
        <v>2</v>
      </c>
      <c r="L17" s="2">
        <v>1</v>
      </c>
      <c r="M17" s="2"/>
      <c r="N17" s="3" t="s">
        <v>18</v>
      </c>
      <c r="O17" s="3" t="s">
        <v>77</v>
      </c>
      <c r="P17" s="4">
        <f t="shared" si="2"/>
        <v>298.2</v>
      </c>
      <c r="Q17" s="4">
        <f t="shared" si="3"/>
        <v>298.2</v>
      </c>
      <c r="R17" s="4"/>
      <c r="S17" s="4"/>
    </row>
    <row r="18" spans="1:19" ht="15" customHeight="1" x14ac:dyDescent="0.15">
      <c r="A18" s="63" t="s">
        <v>810</v>
      </c>
      <c r="B18" s="11">
        <v>270</v>
      </c>
      <c r="C18" s="11">
        <v>195</v>
      </c>
      <c r="D18" s="11">
        <v>87</v>
      </c>
      <c r="E18" s="11"/>
      <c r="F18" s="11">
        <v>182</v>
      </c>
      <c r="G18" s="11"/>
      <c r="H18" s="11">
        <v>98</v>
      </c>
      <c r="I18" s="11"/>
      <c r="J18" s="11"/>
      <c r="K18" s="11">
        <v>1</v>
      </c>
      <c r="L18" s="11">
        <v>1</v>
      </c>
      <c r="M18" s="11"/>
      <c r="N18" s="63" t="s">
        <v>812</v>
      </c>
      <c r="O18" s="63" t="s">
        <v>714</v>
      </c>
      <c r="P18" s="64">
        <f t="shared" si="2"/>
        <v>275.62</v>
      </c>
      <c r="Q18" s="64">
        <f t="shared" si="3"/>
        <v>275.62</v>
      </c>
      <c r="R18" s="4"/>
      <c r="S18" s="4"/>
    </row>
    <row r="19" spans="1:19" ht="15" customHeight="1" x14ac:dyDescent="0.15">
      <c r="A19" s="63" t="s">
        <v>811</v>
      </c>
      <c r="B19" s="11">
        <v>270</v>
      </c>
      <c r="C19" s="11">
        <v>195</v>
      </c>
      <c r="D19" s="11">
        <v>87</v>
      </c>
      <c r="E19" s="11">
        <v>98</v>
      </c>
      <c r="F19" s="11">
        <v>182</v>
      </c>
      <c r="G19" s="11"/>
      <c r="H19" s="11"/>
      <c r="I19" s="11"/>
      <c r="J19" s="11"/>
      <c r="K19" s="11">
        <v>1</v>
      </c>
      <c r="L19" s="11">
        <v>1</v>
      </c>
      <c r="M19" s="11"/>
      <c r="N19" s="63" t="s">
        <v>812</v>
      </c>
      <c r="O19" s="63" t="s">
        <v>714</v>
      </c>
      <c r="P19" s="64">
        <f t="shared" si="2"/>
        <v>258.96000000000004</v>
      </c>
      <c r="Q19" s="64">
        <f t="shared" si="3"/>
        <v>258.96000000000004</v>
      </c>
      <c r="R19" s="4"/>
      <c r="S19" s="4"/>
    </row>
    <row r="20" spans="1:19" ht="15" customHeight="1" x14ac:dyDescent="0.15">
      <c r="A20" s="63" t="s">
        <v>814</v>
      </c>
      <c r="B20" s="11">
        <v>258</v>
      </c>
      <c r="C20" s="11">
        <v>116</v>
      </c>
      <c r="D20" s="11">
        <v>116</v>
      </c>
      <c r="E20" s="11"/>
      <c r="F20" s="11">
        <v>151</v>
      </c>
      <c r="G20" s="11">
        <v>94</v>
      </c>
      <c r="H20" s="11"/>
      <c r="I20" s="11">
        <v>86</v>
      </c>
      <c r="J20" s="11"/>
      <c r="K20" s="11">
        <v>1</v>
      </c>
      <c r="L20" s="11">
        <v>1</v>
      </c>
      <c r="M20" s="11">
        <v>1</v>
      </c>
      <c r="N20" s="63" t="s">
        <v>770</v>
      </c>
      <c r="O20" s="63" t="s">
        <v>794</v>
      </c>
      <c r="P20" s="64">
        <f t="shared" si="2"/>
        <v>268.64</v>
      </c>
      <c r="Q20" s="64">
        <f t="shared" si="3"/>
        <v>430.31999999999994</v>
      </c>
      <c r="R20" s="4"/>
      <c r="S20" s="4"/>
    </row>
    <row r="21" spans="1:19" ht="15" customHeight="1" x14ac:dyDescent="0.15">
      <c r="A21" s="63" t="s">
        <v>813</v>
      </c>
      <c r="B21" s="11">
        <v>245</v>
      </c>
      <c r="C21" s="11">
        <v>103</v>
      </c>
      <c r="D21" s="11">
        <v>103</v>
      </c>
      <c r="E21" s="11"/>
      <c r="F21" s="11">
        <v>140</v>
      </c>
      <c r="G21" s="11">
        <v>82</v>
      </c>
      <c r="H21" s="11"/>
      <c r="I21" s="11">
        <v>82</v>
      </c>
      <c r="J21" s="11"/>
      <c r="K21" s="11"/>
      <c r="L21" s="11">
        <v>1</v>
      </c>
      <c r="M21" s="11">
        <v>1</v>
      </c>
      <c r="N21" s="63" t="s">
        <v>747</v>
      </c>
      <c r="O21" s="63" t="s">
        <v>722</v>
      </c>
      <c r="P21" s="64">
        <f t="shared" si="2"/>
        <v>243.01999999999998</v>
      </c>
      <c r="Q21" s="64">
        <f t="shared" si="3"/>
        <v>397.17999999999995</v>
      </c>
      <c r="R21" s="4"/>
      <c r="S21" s="4"/>
    </row>
    <row r="22" spans="1:19" ht="15" customHeight="1" x14ac:dyDescent="0.15">
      <c r="A22" s="63" t="s">
        <v>816</v>
      </c>
      <c r="B22" s="11">
        <v>258</v>
      </c>
      <c r="C22" s="11">
        <v>116</v>
      </c>
      <c r="D22" s="11">
        <v>116</v>
      </c>
      <c r="E22" s="11">
        <v>94</v>
      </c>
      <c r="F22" s="11">
        <v>151</v>
      </c>
      <c r="G22" s="11">
        <v>86</v>
      </c>
      <c r="H22" s="11"/>
      <c r="I22" s="11"/>
      <c r="J22" s="11"/>
      <c r="K22" s="11">
        <v>1</v>
      </c>
      <c r="L22" s="11">
        <v>1</v>
      </c>
      <c r="M22" s="11">
        <v>1</v>
      </c>
      <c r="N22" s="63" t="s">
        <v>770</v>
      </c>
      <c r="O22" s="63" t="s">
        <v>817</v>
      </c>
      <c r="P22" s="64">
        <f t="shared" si="2"/>
        <v>316.26</v>
      </c>
      <c r="Q22" s="64">
        <f t="shared" si="3"/>
        <v>316.26</v>
      </c>
      <c r="R22" s="4"/>
      <c r="S22" s="4"/>
    </row>
    <row r="23" spans="1:19" ht="15" customHeight="1" x14ac:dyDescent="0.15">
      <c r="A23" s="63" t="s">
        <v>815</v>
      </c>
      <c r="B23" s="11">
        <v>245</v>
      </c>
      <c r="C23" s="11">
        <v>103</v>
      </c>
      <c r="D23" s="11">
        <v>103</v>
      </c>
      <c r="E23" s="11">
        <v>90</v>
      </c>
      <c r="F23" s="11">
        <v>140</v>
      </c>
      <c r="G23" s="11">
        <v>74</v>
      </c>
      <c r="H23" s="11"/>
      <c r="I23" s="11"/>
      <c r="J23" s="11"/>
      <c r="K23" s="11">
        <v>1</v>
      </c>
      <c r="L23" s="11">
        <v>1</v>
      </c>
      <c r="M23" s="11"/>
      <c r="N23" s="63" t="s">
        <v>747</v>
      </c>
      <c r="O23" s="63" t="s">
        <v>722</v>
      </c>
      <c r="P23" s="64">
        <f t="shared" si="2"/>
        <v>288.27999999999997</v>
      </c>
      <c r="Q23" s="64">
        <f t="shared" si="3"/>
        <v>288.27999999999997</v>
      </c>
      <c r="R23" s="4"/>
      <c r="S23" s="4"/>
    </row>
    <row r="24" spans="1:19" ht="15" customHeight="1" x14ac:dyDescent="0.15">
      <c r="A24" s="63" t="s">
        <v>818</v>
      </c>
      <c r="B24" s="11">
        <v>245</v>
      </c>
      <c r="C24" s="11">
        <v>103</v>
      </c>
      <c r="D24" s="11">
        <v>95</v>
      </c>
      <c r="E24" s="11"/>
      <c r="F24" s="11">
        <v>140</v>
      </c>
      <c r="G24" s="11"/>
      <c r="H24" s="11">
        <v>71</v>
      </c>
      <c r="I24" s="11">
        <v>96</v>
      </c>
      <c r="J24" s="11"/>
      <c r="K24" s="11">
        <v>1</v>
      </c>
      <c r="L24" s="11"/>
      <c r="M24" s="11">
        <v>1</v>
      </c>
      <c r="N24" s="63" t="s">
        <v>747</v>
      </c>
      <c r="O24" s="63" t="s">
        <v>797</v>
      </c>
      <c r="P24" s="64">
        <f t="shared" si="2"/>
        <v>214.86</v>
      </c>
      <c r="Q24" s="64">
        <f t="shared" si="3"/>
        <v>395.34000000000003</v>
      </c>
      <c r="R24" s="4"/>
      <c r="S24" s="4"/>
    </row>
    <row r="25" spans="1:19" ht="15" customHeight="1" x14ac:dyDescent="0.15">
      <c r="A25" s="63" t="s">
        <v>819</v>
      </c>
      <c r="B25" s="11">
        <v>245</v>
      </c>
      <c r="C25" s="11">
        <v>103</v>
      </c>
      <c r="D25" s="11">
        <v>103</v>
      </c>
      <c r="E25" s="11">
        <v>82</v>
      </c>
      <c r="F25" s="11">
        <v>140</v>
      </c>
      <c r="G25" s="11">
        <v>82</v>
      </c>
      <c r="H25" s="11"/>
      <c r="I25" s="11"/>
      <c r="J25" s="11"/>
      <c r="K25" s="11">
        <v>1</v>
      </c>
      <c r="L25" s="11"/>
      <c r="M25" s="11">
        <v>1</v>
      </c>
      <c r="N25" s="63" t="s">
        <v>747</v>
      </c>
      <c r="O25" s="63" t="s">
        <v>766</v>
      </c>
      <c r="P25" s="64">
        <f t="shared" si="2"/>
        <v>291.39999999999998</v>
      </c>
      <c r="Q25" s="64">
        <f t="shared" si="3"/>
        <v>291.39999999999998</v>
      </c>
      <c r="R25" s="4"/>
      <c r="S25" s="4"/>
    </row>
    <row r="26" spans="1:19" ht="15" customHeight="1" x14ac:dyDescent="0.15">
      <c r="A26" s="63" t="s">
        <v>820</v>
      </c>
      <c r="B26" s="11">
        <v>258</v>
      </c>
      <c r="C26" s="11">
        <v>116</v>
      </c>
      <c r="D26" s="11">
        <v>116</v>
      </c>
      <c r="E26" s="11">
        <v>94</v>
      </c>
      <c r="F26" s="11">
        <v>160</v>
      </c>
      <c r="G26" s="11">
        <v>94</v>
      </c>
      <c r="H26" s="11"/>
      <c r="I26" s="11"/>
      <c r="J26" s="11"/>
      <c r="K26" s="11">
        <v>1</v>
      </c>
      <c r="L26" s="11"/>
      <c r="M26" s="11">
        <v>1</v>
      </c>
      <c r="N26" s="63" t="s">
        <v>747</v>
      </c>
      <c r="O26" s="63" t="s">
        <v>766</v>
      </c>
      <c r="P26" s="64">
        <f t="shared" si="2"/>
        <v>333.1</v>
      </c>
      <c r="Q26" s="64">
        <f t="shared" si="3"/>
        <v>333.1</v>
      </c>
      <c r="R26" s="4"/>
      <c r="S26" s="4"/>
    </row>
    <row r="27" spans="1:19" ht="15" customHeight="1" x14ac:dyDescent="0.15">
      <c r="A27" s="63" t="s">
        <v>821</v>
      </c>
      <c r="B27" s="11">
        <v>245</v>
      </c>
      <c r="C27" s="11">
        <v>103</v>
      </c>
      <c r="D27" s="11">
        <v>103</v>
      </c>
      <c r="E27" s="11"/>
      <c r="F27" s="11">
        <v>131</v>
      </c>
      <c r="G27" s="11">
        <v>90</v>
      </c>
      <c r="H27" s="11">
        <v>66</v>
      </c>
      <c r="I27" s="11"/>
      <c r="J27" s="11"/>
      <c r="K27" s="11">
        <v>1</v>
      </c>
      <c r="L27" s="11">
        <v>1</v>
      </c>
      <c r="M27" s="11">
        <v>1</v>
      </c>
      <c r="N27" s="63" t="s">
        <v>770</v>
      </c>
      <c r="O27" s="63" t="s">
        <v>822</v>
      </c>
      <c r="P27" s="64">
        <f t="shared" si="2"/>
        <v>292.02000000000004</v>
      </c>
      <c r="Q27" s="64">
        <f t="shared" si="3"/>
        <v>292.02000000000004</v>
      </c>
      <c r="R27" s="4"/>
      <c r="S27" s="4"/>
    </row>
    <row r="28" spans="1:19" ht="15" customHeight="1" x14ac:dyDescent="0.15">
      <c r="A28" s="63" t="s">
        <v>823</v>
      </c>
      <c r="B28" s="11">
        <v>245</v>
      </c>
      <c r="C28" s="11">
        <v>103</v>
      </c>
      <c r="D28" s="11">
        <v>103</v>
      </c>
      <c r="E28" s="11">
        <v>90</v>
      </c>
      <c r="F28" s="11">
        <v>131</v>
      </c>
      <c r="G28" s="11"/>
      <c r="H28" s="11">
        <v>66</v>
      </c>
      <c r="I28" s="11"/>
      <c r="J28" s="11"/>
      <c r="K28" s="11">
        <v>1</v>
      </c>
      <c r="L28" s="11">
        <v>1</v>
      </c>
      <c r="M28" s="11">
        <v>1</v>
      </c>
      <c r="N28" s="63" t="s">
        <v>770</v>
      </c>
      <c r="O28" s="63" t="s">
        <v>822</v>
      </c>
      <c r="P28" s="64">
        <f t="shared" si="2"/>
        <v>256.92</v>
      </c>
      <c r="Q28" s="64">
        <f t="shared" si="3"/>
        <v>256.92</v>
      </c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3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3"/>
      <c r="F34" s="2"/>
      <c r="G34" s="2"/>
      <c r="H34" s="2"/>
      <c r="I34" s="2"/>
      <c r="J34" s="2"/>
      <c r="K34" s="2"/>
      <c r="L34" s="2"/>
      <c r="M34" s="2"/>
      <c r="N34" s="3"/>
      <c r="O34" s="3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3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9" ht="15" customHeight="1" x14ac:dyDescent="0.15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  <c r="P49" s="4"/>
      <c r="Q49" s="4"/>
      <c r="R49" s="4"/>
      <c r="S49" s="4"/>
    </row>
    <row r="50" spans="1:19" ht="15" customHeight="1" x14ac:dyDescent="0.15">
      <c r="A50" s="3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3"/>
      <c r="O50" s="1"/>
      <c r="P50" s="4"/>
      <c r="Q50" s="4"/>
      <c r="R50" s="4"/>
      <c r="S50" s="4"/>
    </row>
    <row r="51" spans="1:19" ht="15" customHeight="1" x14ac:dyDescent="0.15">
      <c r="A51" s="3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3"/>
      <c r="O51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30"/>
  <sheetViews>
    <sheetView workbookViewId="0">
      <selection activeCell="A18" sqref="A18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320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73</v>
      </c>
      <c r="H2" s="2">
        <v>65</v>
      </c>
      <c r="I2" s="2"/>
      <c r="J2" s="2"/>
      <c r="K2" s="2">
        <v>1</v>
      </c>
      <c r="L2" s="2"/>
      <c r="M2" s="2"/>
      <c r="N2" s="3" t="s">
        <v>38</v>
      </c>
      <c r="O2" s="1" t="s">
        <v>111</v>
      </c>
      <c r="P2" s="4">
        <f>D2*0.22+E2*0.59+F2*1+G2*0.98+H2*0.76</f>
        <v>257.2</v>
      </c>
      <c r="Q2" s="4">
        <f>P2+I2*1.88</f>
        <v>257.2</v>
      </c>
      <c r="R2" s="4"/>
      <c r="S2" s="4"/>
    </row>
    <row r="3" spans="1:19" ht="15" customHeight="1" x14ac:dyDescent="0.15">
      <c r="A3" s="1" t="s">
        <v>321</v>
      </c>
      <c r="B3" s="2">
        <v>277</v>
      </c>
      <c r="C3" s="2">
        <v>78</v>
      </c>
      <c r="D3" s="2">
        <v>78</v>
      </c>
      <c r="E3" s="2">
        <v>68</v>
      </c>
      <c r="F3" s="2">
        <v>110</v>
      </c>
      <c r="G3" s="2"/>
      <c r="H3" s="2">
        <v>60</v>
      </c>
      <c r="I3" s="2"/>
      <c r="J3" s="2"/>
      <c r="K3" s="2"/>
      <c r="L3" s="2"/>
      <c r="M3" s="2">
        <v>1</v>
      </c>
      <c r="N3" s="3" t="s">
        <v>38</v>
      </c>
      <c r="O3" s="1" t="s">
        <v>39</v>
      </c>
      <c r="P3" s="4">
        <f>D3*0.22+E3*0.59+F3*1+G3*0.98+H3*0.76</f>
        <v>212.88</v>
      </c>
      <c r="Q3" s="4">
        <f>P3+I3*1.88</f>
        <v>212.88</v>
      </c>
      <c r="R3" s="4"/>
      <c r="S3" s="4"/>
    </row>
    <row r="4" spans="1:19" ht="15" customHeight="1" x14ac:dyDescent="0.15">
      <c r="A4" s="1" t="s">
        <v>322</v>
      </c>
      <c r="B4" s="2">
        <v>277</v>
      </c>
      <c r="C4" s="2">
        <v>78</v>
      </c>
      <c r="D4" s="2">
        <v>78</v>
      </c>
      <c r="E4" s="2"/>
      <c r="F4" s="2">
        <v>110</v>
      </c>
      <c r="G4" s="2"/>
      <c r="H4" s="2">
        <v>73</v>
      </c>
      <c r="I4" s="2">
        <v>52</v>
      </c>
      <c r="J4" s="2"/>
      <c r="K4" s="2"/>
      <c r="L4" s="2">
        <v>1</v>
      </c>
      <c r="M4" s="2"/>
      <c r="N4" s="3" t="s">
        <v>38</v>
      </c>
      <c r="O4" s="1" t="s">
        <v>22</v>
      </c>
      <c r="P4" s="4">
        <f>D4*0.22+E4*0.59+F4*1+G4*0.98+H4*0.76</f>
        <v>182.64</v>
      </c>
      <c r="Q4" s="4">
        <f>P4+I4*1.88</f>
        <v>280.39999999999998</v>
      </c>
      <c r="R4" s="4"/>
      <c r="S4" s="4"/>
    </row>
    <row r="5" spans="1:19" ht="15" customHeight="1" x14ac:dyDescent="0.15">
      <c r="A5" s="1" t="s">
        <v>139</v>
      </c>
      <c r="B5" s="2">
        <v>271</v>
      </c>
      <c r="C5" s="2">
        <v>73</v>
      </c>
      <c r="D5" s="2">
        <v>73</v>
      </c>
      <c r="E5" s="2"/>
      <c r="F5" s="2">
        <v>104</v>
      </c>
      <c r="G5" s="2">
        <v>64</v>
      </c>
      <c r="H5" s="2">
        <v>56</v>
      </c>
      <c r="I5" s="2"/>
      <c r="J5" s="2"/>
      <c r="K5" s="2">
        <v>1</v>
      </c>
      <c r="L5" s="2"/>
      <c r="M5" s="2"/>
      <c r="N5" s="3" t="s">
        <v>38</v>
      </c>
      <c r="O5" s="1" t="s">
        <v>117</v>
      </c>
      <c r="P5" s="4">
        <f t="shared" ref="P5:P11" si="0">D5*0.22+E5*0.59+F5*1+G5*0.98+H5*0.76</f>
        <v>225.34</v>
      </c>
      <c r="Q5" s="4">
        <f t="shared" ref="Q5:Q11" si="1">P5+I5*1.88</f>
        <v>225.34</v>
      </c>
      <c r="R5" s="4"/>
      <c r="S5" s="4"/>
    </row>
    <row r="6" spans="1:19" ht="15" customHeight="1" x14ac:dyDescent="0.15">
      <c r="A6" s="1" t="s">
        <v>323</v>
      </c>
      <c r="B6" s="2">
        <v>264</v>
      </c>
      <c r="C6" s="2">
        <v>69</v>
      </c>
      <c r="D6" s="2">
        <v>69</v>
      </c>
      <c r="E6" s="2"/>
      <c r="F6" s="2">
        <v>97</v>
      </c>
      <c r="G6" s="2">
        <v>69</v>
      </c>
      <c r="H6" s="2"/>
      <c r="I6" s="2">
        <v>38</v>
      </c>
      <c r="J6" s="2"/>
      <c r="K6" s="2">
        <v>1</v>
      </c>
      <c r="L6" s="2"/>
      <c r="M6" s="2"/>
      <c r="N6" s="3" t="s">
        <v>38</v>
      </c>
      <c r="O6" s="1" t="s">
        <v>48</v>
      </c>
      <c r="P6" s="4">
        <f>D6*0.22+E6*0.59+F6*1+G6*0.98+H6*0.76</f>
        <v>179.8</v>
      </c>
      <c r="Q6" s="4">
        <f>P6+I6*1.88</f>
        <v>251.24</v>
      </c>
      <c r="R6" s="4"/>
      <c r="S6" s="4"/>
    </row>
    <row r="7" spans="1:19" ht="15" customHeight="1" x14ac:dyDescent="0.15">
      <c r="A7" s="1" t="s">
        <v>324</v>
      </c>
      <c r="B7" s="2">
        <v>264</v>
      </c>
      <c r="C7" s="2">
        <v>59</v>
      </c>
      <c r="D7" s="2">
        <v>59</v>
      </c>
      <c r="E7" s="2">
        <v>58</v>
      </c>
      <c r="F7" s="2">
        <v>97</v>
      </c>
      <c r="G7" s="2"/>
      <c r="H7" s="2">
        <v>53</v>
      </c>
      <c r="I7" s="2"/>
      <c r="J7" s="2"/>
      <c r="K7" s="2"/>
      <c r="L7" s="2"/>
      <c r="M7" s="2">
        <v>1</v>
      </c>
      <c r="N7" s="3" t="s">
        <v>71</v>
      </c>
      <c r="O7" s="1" t="s">
        <v>63</v>
      </c>
      <c r="P7" s="4">
        <f>D7*0.22+E7*0.59+F7*1+G7*0.98+H7*0.76</f>
        <v>184.48</v>
      </c>
      <c r="Q7" s="4">
        <f>P7+I7*1.88</f>
        <v>184.48</v>
      </c>
      <c r="R7" s="4"/>
      <c r="S7" s="4"/>
    </row>
    <row r="8" spans="1:19" ht="15" customHeight="1" x14ac:dyDescent="0.15">
      <c r="A8" s="1" t="s">
        <v>140</v>
      </c>
      <c r="B8" s="2">
        <v>264</v>
      </c>
      <c r="C8" s="2">
        <v>69</v>
      </c>
      <c r="D8" s="2">
        <v>69</v>
      </c>
      <c r="E8" s="2">
        <v>60</v>
      </c>
      <c r="F8" s="2">
        <v>97</v>
      </c>
      <c r="G8" s="2"/>
      <c r="H8" s="2">
        <v>52</v>
      </c>
      <c r="I8" s="2"/>
      <c r="J8" s="2"/>
      <c r="K8" s="2"/>
      <c r="L8" s="2"/>
      <c r="M8" s="2">
        <v>1</v>
      </c>
      <c r="N8" s="3" t="s">
        <v>38</v>
      </c>
      <c r="O8" s="1" t="s">
        <v>52</v>
      </c>
      <c r="P8" s="4">
        <f t="shared" si="0"/>
        <v>187.1</v>
      </c>
      <c r="Q8" s="4">
        <f t="shared" si="1"/>
        <v>187.1</v>
      </c>
      <c r="R8" s="4"/>
      <c r="S8" s="4"/>
    </row>
    <row r="9" spans="1:19" ht="15" customHeight="1" x14ac:dyDescent="0.15">
      <c r="A9" s="1" t="s">
        <v>141</v>
      </c>
      <c r="B9" s="2">
        <v>264</v>
      </c>
      <c r="C9" s="2">
        <v>69</v>
      </c>
      <c r="D9" s="2">
        <v>69</v>
      </c>
      <c r="E9" s="2"/>
      <c r="F9" s="2">
        <v>97</v>
      </c>
      <c r="G9" s="2"/>
      <c r="H9" s="2">
        <v>65</v>
      </c>
      <c r="I9" s="2">
        <v>45</v>
      </c>
      <c r="J9" s="2"/>
      <c r="K9" s="2"/>
      <c r="L9" s="2">
        <v>1</v>
      </c>
      <c r="M9" s="2"/>
      <c r="N9" s="3" t="s">
        <v>38</v>
      </c>
      <c r="O9" s="1" t="s">
        <v>32</v>
      </c>
      <c r="P9" s="4">
        <f>D9*0.22+E9*0.59+F9*1+G9*0.98+H9*0.76</f>
        <v>161.58000000000001</v>
      </c>
      <c r="Q9" s="4">
        <f>P9+I9*1.88</f>
        <v>246.18</v>
      </c>
      <c r="R9" s="4"/>
      <c r="S9" s="4"/>
    </row>
    <row r="10" spans="1:19" ht="15" customHeight="1" x14ac:dyDescent="0.15">
      <c r="A10" s="1" t="s">
        <v>142</v>
      </c>
      <c r="B10" s="2">
        <v>251</v>
      </c>
      <c r="C10" s="2">
        <v>61</v>
      </c>
      <c r="D10" s="2">
        <v>61</v>
      </c>
      <c r="E10" s="2"/>
      <c r="F10" s="2">
        <v>94</v>
      </c>
      <c r="G10" s="2">
        <v>61</v>
      </c>
      <c r="H10" s="2"/>
      <c r="I10" s="2">
        <v>40</v>
      </c>
      <c r="J10" s="2"/>
      <c r="K10" s="2"/>
      <c r="L10" s="2"/>
      <c r="M10" s="2"/>
      <c r="N10" s="3"/>
      <c r="O10" s="1" t="s">
        <v>56</v>
      </c>
      <c r="P10" s="4">
        <f t="shared" si="0"/>
        <v>167.2</v>
      </c>
      <c r="Q10" s="4">
        <f t="shared" si="1"/>
        <v>242.39999999999998</v>
      </c>
      <c r="R10" s="4"/>
      <c r="S10" s="4"/>
    </row>
    <row r="11" spans="1:19" ht="15" customHeight="1" x14ac:dyDescent="0.15">
      <c r="A11" s="1" t="s">
        <v>143</v>
      </c>
      <c r="B11" s="2">
        <v>251</v>
      </c>
      <c r="C11" s="2">
        <v>61</v>
      </c>
      <c r="D11" s="2">
        <v>61</v>
      </c>
      <c r="E11" s="2">
        <v>51</v>
      </c>
      <c r="F11" s="2">
        <v>85</v>
      </c>
      <c r="G11" s="2"/>
      <c r="H11" s="2">
        <v>47</v>
      </c>
      <c r="I11" s="2"/>
      <c r="J11" s="2"/>
      <c r="K11" s="2"/>
      <c r="L11" s="2"/>
      <c r="M11" s="2">
        <v>1</v>
      </c>
      <c r="N11" s="3" t="s">
        <v>71</v>
      </c>
      <c r="O11" s="1" t="s">
        <v>66</v>
      </c>
      <c r="P11" s="4">
        <f t="shared" si="0"/>
        <v>164.23</v>
      </c>
      <c r="Q11" s="4">
        <f t="shared" si="1"/>
        <v>164.23</v>
      </c>
      <c r="R11" s="4"/>
      <c r="S11" s="4"/>
    </row>
    <row r="12" spans="1:19" ht="15" customHeight="1" x14ac:dyDescent="0.15">
      <c r="A12" s="62" t="s">
        <v>801</v>
      </c>
      <c r="B12" s="11">
        <v>258</v>
      </c>
      <c r="C12" s="11">
        <v>65</v>
      </c>
      <c r="D12" s="11">
        <v>65</v>
      </c>
      <c r="E12" s="11"/>
      <c r="F12" s="11">
        <v>91</v>
      </c>
      <c r="G12" s="11"/>
      <c r="H12" s="11">
        <v>57</v>
      </c>
      <c r="I12" s="11">
        <v>43</v>
      </c>
      <c r="J12" s="11"/>
      <c r="K12" s="11"/>
      <c r="L12" s="11">
        <v>1</v>
      </c>
      <c r="M12" s="11"/>
      <c r="N12" s="63" t="s">
        <v>734</v>
      </c>
      <c r="O12" s="62" t="s">
        <v>794</v>
      </c>
      <c r="P12" s="64">
        <f t="shared" ref="P12:P18" si="2">D12*0.22+E12*0.59+F12*1+G12*0.98+H12*0.76</f>
        <v>148.62</v>
      </c>
      <c r="Q12" s="64">
        <f t="shared" ref="Q12:Q18" si="3">P12+I12*1.88</f>
        <v>229.45999999999998</v>
      </c>
      <c r="R12" s="4"/>
      <c r="S12" s="4"/>
    </row>
    <row r="13" spans="1:19" ht="15" customHeight="1" x14ac:dyDescent="0.15">
      <c r="A13" s="62" t="s">
        <v>803</v>
      </c>
      <c r="B13" s="11">
        <v>258</v>
      </c>
      <c r="C13" s="11">
        <v>65</v>
      </c>
      <c r="D13" s="11">
        <v>65</v>
      </c>
      <c r="E13" s="11">
        <v>57</v>
      </c>
      <c r="F13" s="11">
        <v>91</v>
      </c>
      <c r="G13" s="11">
        <v>49</v>
      </c>
      <c r="H13" s="11"/>
      <c r="I13" s="11"/>
      <c r="J13" s="11"/>
      <c r="K13" s="11"/>
      <c r="L13" s="11"/>
      <c r="M13" s="11">
        <v>1</v>
      </c>
      <c r="N13" s="63" t="s">
        <v>734</v>
      </c>
      <c r="O13" s="62" t="s">
        <v>794</v>
      </c>
      <c r="P13" s="64">
        <f t="shared" si="2"/>
        <v>186.95</v>
      </c>
      <c r="Q13" s="64">
        <f t="shared" si="3"/>
        <v>186.95</v>
      </c>
      <c r="R13" s="4"/>
      <c r="S13" s="4"/>
    </row>
    <row r="14" spans="1:19" ht="15" customHeight="1" x14ac:dyDescent="0.15">
      <c r="A14" s="62" t="s">
        <v>802</v>
      </c>
      <c r="B14" s="11">
        <v>245</v>
      </c>
      <c r="C14" s="11">
        <v>58</v>
      </c>
      <c r="D14" s="11">
        <v>58</v>
      </c>
      <c r="E14" s="11">
        <v>50</v>
      </c>
      <c r="F14" s="11">
        <v>89</v>
      </c>
      <c r="G14" s="11">
        <v>50</v>
      </c>
      <c r="H14" s="11"/>
      <c r="I14" s="11"/>
      <c r="J14" s="11"/>
      <c r="K14" s="11"/>
      <c r="L14" s="11"/>
      <c r="M14" s="11"/>
      <c r="N14" s="63"/>
      <c r="O14" s="62" t="s">
        <v>777</v>
      </c>
      <c r="P14" s="64">
        <f t="shared" si="2"/>
        <v>180.26</v>
      </c>
      <c r="Q14" s="64">
        <f t="shared" si="3"/>
        <v>180.26</v>
      </c>
      <c r="R14" s="4"/>
      <c r="S14" s="4"/>
    </row>
    <row r="15" spans="1:19" ht="15" customHeight="1" x14ac:dyDescent="0.15">
      <c r="A15" s="62" t="s">
        <v>800</v>
      </c>
      <c r="B15" s="11">
        <v>245</v>
      </c>
      <c r="C15" s="11">
        <v>58</v>
      </c>
      <c r="D15" s="11">
        <v>58</v>
      </c>
      <c r="E15" s="11"/>
      <c r="F15" s="11">
        <v>89</v>
      </c>
      <c r="G15" s="11"/>
      <c r="H15" s="11">
        <v>38</v>
      </c>
      <c r="I15" s="11">
        <v>38</v>
      </c>
      <c r="J15" s="11"/>
      <c r="K15" s="11"/>
      <c r="L15" s="11"/>
      <c r="M15" s="11"/>
      <c r="N15" s="63"/>
      <c r="O15" s="62" t="s">
        <v>777</v>
      </c>
      <c r="P15" s="64">
        <f t="shared" si="2"/>
        <v>130.64000000000001</v>
      </c>
      <c r="Q15" s="64">
        <f t="shared" si="3"/>
        <v>202.08</v>
      </c>
      <c r="R15" s="4"/>
      <c r="S15" s="4"/>
    </row>
    <row r="16" spans="1:19" ht="15" customHeight="1" x14ac:dyDescent="0.15">
      <c r="A16" s="62" t="s">
        <v>804</v>
      </c>
      <c r="B16" s="11">
        <v>264</v>
      </c>
      <c r="C16" s="11">
        <v>103</v>
      </c>
      <c r="D16" s="11">
        <v>46</v>
      </c>
      <c r="E16" s="11"/>
      <c r="F16" s="11">
        <v>106</v>
      </c>
      <c r="G16" s="11">
        <v>60</v>
      </c>
      <c r="H16" s="11"/>
      <c r="I16" s="11"/>
      <c r="J16" s="11"/>
      <c r="K16" s="11"/>
      <c r="L16" s="11"/>
      <c r="M16" s="11"/>
      <c r="N16" s="63"/>
      <c r="O16" s="62" t="s">
        <v>805</v>
      </c>
      <c r="P16" s="64">
        <f t="shared" si="2"/>
        <v>174.92000000000002</v>
      </c>
      <c r="Q16" s="64">
        <f t="shared" si="3"/>
        <v>174.92000000000002</v>
      </c>
      <c r="R16" s="4"/>
      <c r="S16" s="4"/>
    </row>
    <row r="17" spans="1:19" ht="15" customHeight="1" x14ac:dyDescent="0.15">
      <c r="A17" s="62" t="s">
        <v>806</v>
      </c>
      <c r="B17" s="11">
        <v>245</v>
      </c>
      <c r="C17" s="11">
        <v>56</v>
      </c>
      <c r="D17" s="11">
        <v>58</v>
      </c>
      <c r="E17" s="11"/>
      <c r="F17" s="11">
        <v>80</v>
      </c>
      <c r="G17" s="11">
        <v>56</v>
      </c>
      <c r="H17" s="11"/>
      <c r="I17" s="11">
        <v>33</v>
      </c>
      <c r="J17" s="11"/>
      <c r="K17" s="11"/>
      <c r="L17" s="11">
        <v>1</v>
      </c>
      <c r="M17" s="11"/>
      <c r="N17" s="63" t="s">
        <v>807</v>
      </c>
      <c r="O17" s="62" t="s">
        <v>797</v>
      </c>
      <c r="P17" s="64">
        <f t="shared" si="2"/>
        <v>147.63999999999999</v>
      </c>
      <c r="Q17" s="64">
        <f t="shared" si="3"/>
        <v>209.67999999999998</v>
      </c>
      <c r="R17" s="4"/>
      <c r="S17" s="4"/>
    </row>
    <row r="18" spans="1:19" ht="15" customHeight="1" x14ac:dyDescent="0.15">
      <c r="A18" s="62" t="s">
        <v>808</v>
      </c>
      <c r="B18" s="11">
        <v>245</v>
      </c>
      <c r="C18" s="11">
        <v>58</v>
      </c>
      <c r="D18" s="11">
        <v>58</v>
      </c>
      <c r="E18" s="11"/>
      <c r="F18" s="11">
        <v>80</v>
      </c>
      <c r="G18" s="11">
        <v>50</v>
      </c>
      <c r="H18" s="11">
        <v>42</v>
      </c>
      <c r="I18" s="11"/>
      <c r="J18" s="11"/>
      <c r="K18" s="11"/>
      <c r="L18" s="11"/>
      <c r="M18" s="11">
        <v>1</v>
      </c>
      <c r="N18" s="63" t="s">
        <v>734</v>
      </c>
      <c r="O18" s="62" t="s">
        <v>809</v>
      </c>
      <c r="P18" s="64">
        <f t="shared" si="2"/>
        <v>173.68</v>
      </c>
      <c r="Q18" s="64">
        <f t="shared" si="3"/>
        <v>173.68</v>
      </c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</row>
    <row r="29" spans="1:19" ht="15" customHeight="1" x14ac:dyDescent="0.15">
      <c r="P29" s="4"/>
      <c r="Q29" s="4"/>
    </row>
    <row r="30" spans="1:19" ht="15" customHeight="1" x14ac:dyDescent="0.15">
      <c r="P30" s="4"/>
      <c r="Q30" s="4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49"/>
  <sheetViews>
    <sheetView workbookViewId="0">
      <selection activeCell="A24" sqref="A24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325</v>
      </c>
      <c r="B2" s="2">
        <v>277</v>
      </c>
      <c r="C2" s="2">
        <v>103</v>
      </c>
      <c r="D2" s="2">
        <v>103</v>
      </c>
      <c r="E2" s="2"/>
      <c r="F2" s="2">
        <v>150</v>
      </c>
      <c r="G2" s="2"/>
      <c r="H2" s="2">
        <v>90</v>
      </c>
      <c r="I2" s="2">
        <v>82</v>
      </c>
      <c r="J2" s="2"/>
      <c r="K2" s="2"/>
      <c r="L2" s="2"/>
      <c r="M2" s="2">
        <v>1</v>
      </c>
      <c r="N2" s="3" t="s">
        <v>103</v>
      </c>
      <c r="O2" s="1" t="s">
        <v>79</v>
      </c>
      <c r="P2" s="4">
        <f t="shared" ref="P2:P15" si="0">D2*0.22+E2*0.59+F2*1+G2*0.98+H2*0.76</f>
        <v>241.06</v>
      </c>
      <c r="Q2" s="4">
        <f t="shared" ref="Q2:Q15" si="1">P2+I2*1.88</f>
        <v>395.22</v>
      </c>
    </row>
    <row r="3" spans="1:19" ht="15" customHeight="1" x14ac:dyDescent="0.15">
      <c r="A3" s="1" t="s">
        <v>326</v>
      </c>
      <c r="B3" s="2">
        <v>277</v>
      </c>
      <c r="C3" s="2">
        <v>103</v>
      </c>
      <c r="D3" s="2">
        <v>103</v>
      </c>
      <c r="E3" s="2">
        <v>90</v>
      </c>
      <c r="F3" s="2">
        <v>150</v>
      </c>
      <c r="G3" s="2">
        <v>82</v>
      </c>
      <c r="H3" s="2"/>
      <c r="I3" s="2"/>
      <c r="J3" s="2"/>
      <c r="K3" s="2"/>
      <c r="L3" s="2"/>
      <c r="M3" s="2">
        <v>1</v>
      </c>
      <c r="N3" s="3" t="s">
        <v>103</v>
      </c>
      <c r="O3" s="1" t="s">
        <v>81</v>
      </c>
      <c r="P3" s="4">
        <f t="shared" si="0"/>
        <v>306.12</v>
      </c>
      <c r="Q3" s="4">
        <f t="shared" si="1"/>
        <v>306.12</v>
      </c>
    </row>
    <row r="4" spans="1:19" ht="15" customHeight="1" x14ac:dyDescent="0.15">
      <c r="A4" s="3" t="s">
        <v>327</v>
      </c>
      <c r="B4" s="2">
        <v>277</v>
      </c>
      <c r="C4" s="2">
        <v>103</v>
      </c>
      <c r="D4" s="2">
        <v>103</v>
      </c>
      <c r="E4" s="2">
        <v>74</v>
      </c>
      <c r="F4" s="2">
        <v>140</v>
      </c>
      <c r="G4" s="2">
        <v>90</v>
      </c>
      <c r="H4" s="2"/>
      <c r="I4" s="2"/>
      <c r="J4" s="2"/>
      <c r="K4" s="2"/>
      <c r="L4" s="2">
        <v>1</v>
      </c>
      <c r="M4" s="2">
        <v>1</v>
      </c>
      <c r="N4" s="3" t="s">
        <v>30</v>
      </c>
      <c r="O4" s="1" t="s">
        <v>61</v>
      </c>
      <c r="P4" s="4">
        <f t="shared" si="0"/>
        <v>294.52</v>
      </c>
      <c r="Q4" s="4">
        <f t="shared" si="1"/>
        <v>294.52</v>
      </c>
      <c r="R4" s="4"/>
      <c r="S4" s="4"/>
    </row>
    <row r="5" spans="1:19" ht="15" customHeight="1" x14ac:dyDescent="0.15">
      <c r="A5" s="3" t="s">
        <v>328</v>
      </c>
      <c r="B5" s="2">
        <v>277</v>
      </c>
      <c r="C5" s="2">
        <v>103</v>
      </c>
      <c r="D5" s="2">
        <v>103</v>
      </c>
      <c r="E5" s="2"/>
      <c r="F5" s="2">
        <v>140</v>
      </c>
      <c r="G5" s="2">
        <v>90</v>
      </c>
      <c r="H5" s="2"/>
      <c r="I5" s="2">
        <v>74</v>
      </c>
      <c r="J5" s="2"/>
      <c r="K5" s="2">
        <v>1</v>
      </c>
      <c r="L5" s="2"/>
      <c r="M5" s="2">
        <v>1</v>
      </c>
      <c r="N5" s="3" t="s">
        <v>30</v>
      </c>
      <c r="O5" s="3" t="s">
        <v>83</v>
      </c>
      <c r="P5" s="4">
        <f t="shared" si="0"/>
        <v>250.86</v>
      </c>
      <c r="Q5" s="4">
        <f t="shared" si="1"/>
        <v>389.98</v>
      </c>
      <c r="R5" s="4"/>
      <c r="S5" s="4"/>
    </row>
    <row r="6" spans="1:19" ht="15" customHeight="1" x14ac:dyDescent="0.15">
      <c r="A6" s="3" t="s">
        <v>144</v>
      </c>
      <c r="B6" s="2">
        <v>264</v>
      </c>
      <c r="C6" s="2">
        <v>92</v>
      </c>
      <c r="D6" s="2">
        <v>92</v>
      </c>
      <c r="E6" s="2"/>
      <c r="F6" s="2">
        <v>132</v>
      </c>
      <c r="G6" s="2"/>
      <c r="H6" s="2">
        <v>80</v>
      </c>
      <c r="I6" s="2">
        <v>72</v>
      </c>
      <c r="J6" s="2"/>
      <c r="K6" s="2"/>
      <c r="L6" s="2"/>
      <c r="M6" s="2">
        <v>1</v>
      </c>
      <c r="N6" s="3" t="s">
        <v>103</v>
      </c>
      <c r="O6" s="3" t="s">
        <v>85</v>
      </c>
      <c r="P6" s="4">
        <f t="shared" si="0"/>
        <v>213.04000000000002</v>
      </c>
      <c r="Q6" s="4">
        <f t="shared" si="1"/>
        <v>348.4</v>
      </c>
      <c r="R6" s="4"/>
      <c r="S6" s="4"/>
    </row>
    <row r="7" spans="1:19" ht="15" customHeight="1" x14ac:dyDescent="0.15">
      <c r="A7" s="3" t="s">
        <v>145</v>
      </c>
      <c r="B7" s="2">
        <v>264</v>
      </c>
      <c r="C7" s="2">
        <v>92</v>
      </c>
      <c r="D7" s="2">
        <v>92</v>
      </c>
      <c r="E7" s="2">
        <v>80</v>
      </c>
      <c r="F7" s="2">
        <v>132</v>
      </c>
      <c r="G7" s="2">
        <v>72</v>
      </c>
      <c r="H7" s="2"/>
      <c r="I7" s="2"/>
      <c r="J7" s="2"/>
      <c r="K7" s="2"/>
      <c r="L7" s="2"/>
      <c r="M7" s="2">
        <v>1</v>
      </c>
      <c r="N7" s="3" t="s">
        <v>103</v>
      </c>
      <c r="O7" s="3" t="s">
        <v>86</v>
      </c>
      <c r="P7" s="4">
        <f t="shared" si="0"/>
        <v>270</v>
      </c>
      <c r="Q7" s="4">
        <f t="shared" si="1"/>
        <v>270</v>
      </c>
      <c r="R7" s="4"/>
      <c r="S7" s="4"/>
    </row>
    <row r="8" spans="1:19" ht="15" customHeight="1" x14ac:dyDescent="0.15">
      <c r="A8" s="3" t="s">
        <v>329</v>
      </c>
      <c r="B8" s="2">
        <v>264</v>
      </c>
      <c r="C8" s="2">
        <v>92</v>
      </c>
      <c r="D8" s="2">
        <v>92</v>
      </c>
      <c r="E8" s="2">
        <v>54</v>
      </c>
      <c r="F8" s="2">
        <v>122</v>
      </c>
      <c r="G8" s="2">
        <v>86</v>
      </c>
      <c r="H8" s="2"/>
      <c r="I8" s="2"/>
      <c r="J8" s="2"/>
      <c r="K8" s="2">
        <v>1</v>
      </c>
      <c r="L8" s="2"/>
      <c r="M8" s="2">
        <v>1</v>
      </c>
      <c r="N8" s="3" t="s">
        <v>149</v>
      </c>
      <c r="O8" s="1" t="s">
        <v>48</v>
      </c>
      <c r="P8" s="4">
        <f t="shared" si="0"/>
        <v>258.38</v>
      </c>
      <c r="Q8" s="4">
        <f t="shared" si="1"/>
        <v>258.38</v>
      </c>
      <c r="R8" s="4"/>
      <c r="S8" s="4"/>
    </row>
    <row r="9" spans="1:19" ht="15" customHeight="1" x14ac:dyDescent="0.15">
      <c r="A9" s="3" t="s">
        <v>330</v>
      </c>
      <c r="B9" s="2">
        <v>264</v>
      </c>
      <c r="C9" s="2">
        <v>92</v>
      </c>
      <c r="D9" s="2">
        <v>92</v>
      </c>
      <c r="E9" s="2"/>
      <c r="F9" s="2">
        <v>122</v>
      </c>
      <c r="G9" s="2">
        <v>64</v>
      </c>
      <c r="H9" s="2"/>
      <c r="I9" s="2">
        <v>80</v>
      </c>
      <c r="J9" s="2"/>
      <c r="K9" s="2"/>
      <c r="L9" s="2">
        <v>2</v>
      </c>
      <c r="M9" s="2"/>
      <c r="N9" s="3" t="s">
        <v>30</v>
      </c>
      <c r="O9" s="3" t="s">
        <v>63</v>
      </c>
      <c r="P9" s="4">
        <f t="shared" si="0"/>
        <v>204.96</v>
      </c>
      <c r="Q9" s="4">
        <f t="shared" si="1"/>
        <v>355.36</v>
      </c>
      <c r="R9" s="4"/>
      <c r="S9" s="4"/>
    </row>
    <row r="10" spans="1:19" ht="15" customHeight="1" x14ac:dyDescent="0.15">
      <c r="A10" s="3" t="s">
        <v>146</v>
      </c>
      <c r="B10" s="2">
        <v>264</v>
      </c>
      <c r="C10" s="2">
        <v>92</v>
      </c>
      <c r="D10" s="2">
        <v>92</v>
      </c>
      <c r="E10" s="2">
        <v>64</v>
      </c>
      <c r="F10" s="2">
        <v>122</v>
      </c>
      <c r="G10" s="2">
        <v>80</v>
      </c>
      <c r="H10" s="2"/>
      <c r="I10" s="2"/>
      <c r="J10" s="2"/>
      <c r="K10" s="2"/>
      <c r="L10" s="2">
        <v>1</v>
      </c>
      <c r="M10" s="2">
        <v>1</v>
      </c>
      <c r="N10" s="3" t="s">
        <v>30</v>
      </c>
      <c r="O10" s="1" t="s">
        <v>65</v>
      </c>
      <c r="P10" s="4">
        <f t="shared" si="0"/>
        <v>258.39999999999998</v>
      </c>
      <c r="Q10" s="4">
        <f t="shared" si="1"/>
        <v>258.39999999999998</v>
      </c>
      <c r="R10" s="4"/>
      <c r="S10" s="4"/>
    </row>
    <row r="11" spans="1:19" ht="15" customHeight="1" x14ac:dyDescent="0.15">
      <c r="A11" s="3" t="s">
        <v>147</v>
      </c>
      <c r="B11" s="2">
        <v>264</v>
      </c>
      <c r="C11" s="2">
        <v>92</v>
      </c>
      <c r="D11" s="2">
        <v>92</v>
      </c>
      <c r="E11" s="2"/>
      <c r="F11" s="2">
        <v>122</v>
      </c>
      <c r="G11" s="2">
        <v>80</v>
      </c>
      <c r="H11" s="2"/>
      <c r="I11" s="2">
        <v>64</v>
      </c>
      <c r="J11" s="2"/>
      <c r="K11" s="2">
        <v>1</v>
      </c>
      <c r="L11" s="2"/>
      <c r="M11" s="2">
        <v>1</v>
      </c>
      <c r="N11" s="3" t="s">
        <v>30</v>
      </c>
      <c r="O11" s="3" t="s">
        <v>88</v>
      </c>
      <c r="P11" s="4">
        <f t="shared" si="0"/>
        <v>220.64000000000001</v>
      </c>
      <c r="Q11" s="4">
        <f t="shared" si="1"/>
        <v>340.96000000000004</v>
      </c>
      <c r="R11" s="4"/>
      <c r="S11" s="4"/>
    </row>
    <row r="12" spans="1:19" ht="15" customHeight="1" x14ac:dyDescent="0.15">
      <c r="A12" s="3" t="s">
        <v>151</v>
      </c>
      <c r="B12" s="2">
        <v>264</v>
      </c>
      <c r="C12" s="2">
        <v>92</v>
      </c>
      <c r="D12" s="2">
        <v>92</v>
      </c>
      <c r="E12" s="2"/>
      <c r="F12" s="2">
        <v>122</v>
      </c>
      <c r="G12" s="2">
        <v>64</v>
      </c>
      <c r="H12" s="2">
        <v>80</v>
      </c>
      <c r="I12" s="2"/>
      <c r="J12" s="2"/>
      <c r="K12" s="2"/>
      <c r="L12" s="2">
        <v>2</v>
      </c>
      <c r="M12" s="2"/>
      <c r="N12" s="3" t="s">
        <v>128</v>
      </c>
      <c r="O12" s="3" t="s">
        <v>152</v>
      </c>
      <c r="P12" s="4">
        <f t="shared" si="0"/>
        <v>265.76</v>
      </c>
      <c r="Q12" s="4">
        <f t="shared" si="1"/>
        <v>265.76</v>
      </c>
      <c r="R12" s="4"/>
      <c r="S12" s="4"/>
    </row>
    <row r="13" spans="1:19" ht="15" customHeight="1" x14ac:dyDescent="0.15">
      <c r="A13" s="3" t="s">
        <v>153</v>
      </c>
      <c r="B13" s="2">
        <v>264</v>
      </c>
      <c r="C13" s="2">
        <v>92</v>
      </c>
      <c r="D13" s="2">
        <v>92</v>
      </c>
      <c r="E13" s="2">
        <v>80</v>
      </c>
      <c r="F13" s="2">
        <v>122</v>
      </c>
      <c r="G13" s="2"/>
      <c r="H13" s="2">
        <v>64</v>
      </c>
      <c r="I13" s="2"/>
      <c r="J13" s="2"/>
      <c r="K13" s="2"/>
      <c r="L13" s="2">
        <v>2</v>
      </c>
      <c r="M13" s="2"/>
      <c r="N13" s="3" t="s">
        <v>128</v>
      </c>
      <c r="O13" s="3" t="s">
        <v>152</v>
      </c>
      <c r="P13" s="4">
        <f t="shared" si="0"/>
        <v>238.07999999999998</v>
      </c>
      <c r="Q13" s="4">
        <f t="shared" si="1"/>
        <v>238.07999999999998</v>
      </c>
      <c r="R13" s="4"/>
      <c r="S13" s="4"/>
    </row>
    <row r="14" spans="1:19" ht="15" customHeight="1" x14ac:dyDescent="0.15">
      <c r="A14" s="3" t="s">
        <v>154</v>
      </c>
      <c r="B14" s="2">
        <v>251</v>
      </c>
      <c r="C14" s="2">
        <v>81</v>
      </c>
      <c r="D14" s="2">
        <v>81</v>
      </c>
      <c r="E14" s="2"/>
      <c r="F14" s="2">
        <v>116</v>
      </c>
      <c r="G14" s="2"/>
      <c r="H14" s="2">
        <v>71</v>
      </c>
      <c r="I14" s="2">
        <v>63</v>
      </c>
      <c r="J14" s="2"/>
      <c r="K14" s="2"/>
      <c r="L14" s="2"/>
      <c r="M14" s="2">
        <v>1</v>
      </c>
      <c r="N14" s="3" t="s">
        <v>103</v>
      </c>
      <c r="O14" s="3" t="s">
        <v>89</v>
      </c>
      <c r="P14" s="4">
        <f t="shared" si="0"/>
        <v>187.78</v>
      </c>
      <c r="Q14" s="4">
        <f t="shared" si="1"/>
        <v>306.22000000000003</v>
      </c>
      <c r="R14" s="4"/>
      <c r="S14" s="4"/>
    </row>
    <row r="15" spans="1:19" ht="15" customHeight="1" x14ac:dyDescent="0.15">
      <c r="A15" s="3" t="s">
        <v>155</v>
      </c>
      <c r="B15" s="2">
        <v>251</v>
      </c>
      <c r="C15" s="2">
        <v>81</v>
      </c>
      <c r="D15" s="2">
        <v>81</v>
      </c>
      <c r="E15" s="2">
        <v>71</v>
      </c>
      <c r="F15" s="2">
        <v>116</v>
      </c>
      <c r="G15" s="2">
        <v>63</v>
      </c>
      <c r="H15" s="2"/>
      <c r="I15" s="2"/>
      <c r="J15" s="2"/>
      <c r="K15" s="2"/>
      <c r="L15" s="2"/>
      <c r="M15" s="2">
        <v>1</v>
      </c>
      <c r="N15" s="3" t="s">
        <v>103</v>
      </c>
      <c r="O15" s="3" t="s">
        <v>90</v>
      </c>
      <c r="P15" s="4">
        <f t="shared" si="0"/>
        <v>237.45000000000002</v>
      </c>
      <c r="Q15" s="4">
        <f t="shared" si="1"/>
        <v>237.45000000000002</v>
      </c>
      <c r="R15" s="4"/>
      <c r="S15" s="4"/>
    </row>
    <row r="16" spans="1:19" ht="15" customHeight="1" x14ac:dyDescent="0.15">
      <c r="A16" s="3" t="s">
        <v>148</v>
      </c>
      <c r="B16" s="2">
        <v>251</v>
      </c>
      <c r="C16" s="2">
        <v>81</v>
      </c>
      <c r="D16" s="2">
        <v>81</v>
      </c>
      <c r="E16" s="2">
        <v>46</v>
      </c>
      <c r="F16" s="2">
        <v>106</v>
      </c>
      <c r="G16" s="2">
        <v>76</v>
      </c>
      <c r="H16" s="2"/>
      <c r="I16" s="2"/>
      <c r="J16" s="2"/>
      <c r="K16" s="2">
        <v>1</v>
      </c>
      <c r="L16" s="2"/>
      <c r="M16" s="2">
        <v>1</v>
      </c>
      <c r="N16" s="3" t="s">
        <v>149</v>
      </c>
      <c r="O16" s="1" t="s">
        <v>56</v>
      </c>
      <c r="P16" s="4">
        <f t="shared" ref="P16:P24" si="2">D16*0.22+E16*0.59+F16*1+G16*0.98+H16*0.76</f>
        <v>225.44</v>
      </c>
      <c r="Q16" s="4">
        <f t="shared" ref="Q16:Q24" si="3">P16+I16*1.88</f>
        <v>225.44</v>
      </c>
      <c r="R16" s="4"/>
      <c r="S16" s="4"/>
    </row>
    <row r="17" spans="1:19" ht="15" customHeight="1" x14ac:dyDescent="0.15">
      <c r="A17" s="3" t="s">
        <v>150</v>
      </c>
      <c r="B17" s="2">
        <v>251</v>
      </c>
      <c r="C17" s="2">
        <v>81</v>
      </c>
      <c r="D17" s="2">
        <v>81</v>
      </c>
      <c r="E17" s="2"/>
      <c r="F17" s="2">
        <v>106</v>
      </c>
      <c r="G17" s="2">
        <v>55</v>
      </c>
      <c r="H17" s="2"/>
      <c r="I17" s="2">
        <v>71</v>
      </c>
      <c r="J17" s="2"/>
      <c r="K17" s="2"/>
      <c r="L17" s="2">
        <v>2</v>
      </c>
      <c r="M17" s="2"/>
      <c r="N17" s="3" t="s">
        <v>30</v>
      </c>
      <c r="O17" s="3" t="s">
        <v>66</v>
      </c>
      <c r="P17" s="4">
        <f t="shared" si="2"/>
        <v>177.72</v>
      </c>
      <c r="Q17" s="4">
        <f t="shared" si="3"/>
        <v>311.2</v>
      </c>
      <c r="R17" s="4"/>
      <c r="S17" s="4"/>
    </row>
    <row r="18" spans="1:19" ht="15" customHeight="1" x14ac:dyDescent="0.15">
      <c r="A18" s="63" t="s">
        <v>788</v>
      </c>
      <c r="B18" s="11">
        <v>270</v>
      </c>
      <c r="C18" s="11">
        <v>145</v>
      </c>
      <c r="D18" s="11">
        <v>64</v>
      </c>
      <c r="E18" s="11"/>
      <c r="F18" s="11">
        <v>140</v>
      </c>
      <c r="G18" s="11"/>
      <c r="H18" s="11">
        <v>77</v>
      </c>
      <c r="I18" s="11"/>
      <c r="J18" s="11"/>
      <c r="K18" s="11"/>
      <c r="L18" s="11"/>
      <c r="M18" s="11">
        <v>1</v>
      </c>
      <c r="N18" s="63" t="s">
        <v>789</v>
      </c>
      <c r="O18" s="63" t="s">
        <v>712</v>
      </c>
      <c r="P18" s="64">
        <f t="shared" si="2"/>
        <v>212.60000000000002</v>
      </c>
      <c r="Q18" s="64">
        <f t="shared" si="3"/>
        <v>212.60000000000002</v>
      </c>
      <c r="R18" s="4"/>
      <c r="S18" s="4"/>
    </row>
    <row r="19" spans="1:19" ht="15" customHeight="1" x14ac:dyDescent="0.15">
      <c r="A19" s="63" t="s">
        <v>790</v>
      </c>
      <c r="B19" s="11">
        <v>270</v>
      </c>
      <c r="C19" s="11">
        <v>145</v>
      </c>
      <c r="D19" s="11">
        <v>64</v>
      </c>
      <c r="E19" s="11">
        <v>77</v>
      </c>
      <c r="F19" s="11">
        <v>140</v>
      </c>
      <c r="G19" s="11"/>
      <c r="H19" s="11"/>
      <c r="I19" s="11"/>
      <c r="J19" s="11"/>
      <c r="K19" s="11"/>
      <c r="L19" s="11"/>
      <c r="M19" s="11">
        <v>1</v>
      </c>
      <c r="N19" s="63" t="s">
        <v>789</v>
      </c>
      <c r="O19" s="63" t="s">
        <v>712</v>
      </c>
      <c r="P19" s="64">
        <f t="shared" si="2"/>
        <v>199.51</v>
      </c>
      <c r="Q19" s="64">
        <f t="shared" si="3"/>
        <v>199.51</v>
      </c>
      <c r="R19" s="4"/>
      <c r="S19" s="4"/>
    </row>
    <row r="20" spans="1:19" ht="15" customHeight="1" x14ac:dyDescent="0.15">
      <c r="A20" s="63" t="s">
        <v>791</v>
      </c>
      <c r="B20" s="11">
        <v>258</v>
      </c>
      <c r="C20" s="11">
        <v>86</v>
      </c>
      <c r="D20" s="11">
        <v>86</v>
      </c>
      <c r="E20" s="11"/>
      <c r="F20" s="11">
        <v>124</v>
      </c>
      <c r="G20" s="11"/>
      <c r="H20" s="11">
        <v>76</v>
      </c>
      <c r="I20" s="11">
        <v>68</v>
      </c>
      <c r="J20" s="11"/>
      <c r="K20" s="11"/>
      <c r="L20" s="11">
        <v>1</v>
      </c>
      <c r="M20" s="11"/>
      <c r="N20" s="63" t="s">
        <v>789</v>
      </c>
      <c r="O20" s="63" t="s">
        <v>792</v>
      </c>
      <c r="P20" s="64">
        <f t="shared" si="2"/>
        <v>200.68</v>
      </c>
      <c r="Q20" s="64">
        <f t="shared" si="3"/>
        <v>328.52</v>
      </c>
      <c r="R20" s="4"/>
      <c r="S20" s="4"/>
    </row>
    <row r="21" spans="1:19" ht="15" customHeight="1" x14ac:dyDescent="0.15">
      <c r="A21" s="63" t="s">
        <v>793</v>
      </c>
      <c r="B21" s="11">
        <v>258</v>
      </c>
      <c r="C21" s="11">
        <v>86</v>
      </c>
      <c r="D21" s="11">
        <v>86</v>
      </c>
      <c r="E21" s="11"/>
      <c r="F21" s="11">
        <v>114</v>
      </c>
      <c r="G21" s="11">
        <v>76</v>
      </c>
      <c r="H21" s="11">
        <v>60</v>
      </c>
      <c r="I21" s="11"/>
      <c r="J21" s="11"/>
      <c r="K21" s="11">
        <v>1</v>
      </c>
      <c r="L21" s="11"/>
      <c r="M21" s="11">
        <v>1</v>
      </c>
      <c r="N21" s="63" t="s">
        <v>747</v>
      </c>
      <c r="O21" s="63" t="s">
        <v>794</v>
      </c>
      <c r="P21" s="64">
        <f t="shared" si="2"/>
        <v>253.00000000000003</v>
      </c>
      <c r="Q21" s="64">
        <f t="shared" si="3"/>
        <v>253.00000000000003</v>
      </c>
      <c r="R21" s="4"/>
      <c r="S21" s="4"/>
    </row>
    <row r="22" spans="1:19" ht="15" customHeight="1" x14ac:dyDescent="0.15">
      <c r="A22" s="63" t="s">
        <v>795</v>
      </c>
      <c r="B22" s="11">
        <v>245</v>
      </c>
      <c r="C22" s="11">
        <v>77</v>
      </c>
      <c r="D22" s="11">
        <v>69</v>
      </c>
      <c r="E22" s="11"/>
      <c r="F22" s="11">
        <v>109</v>
      </c>
      <c r="G22" s="11">
        <v>67</v>
      </c>
      <c r="H22" s="11"/>
      <c r="I22" s="11">
        <v>51</v>
      </c>
      <c r="J22" s="11"/>
      <c r="K22" s="11">
        <v>1</v>
      </c>
      <c r="L22" s="11">
        <v>1</v>
      </c>
      <c r="M22" s="11"/>
      <c r="N22" s="63" t="s">
        <v>796</v>
      </c>
      <c r="O22" s="63" t="s">
        <v>797</v>
      </c>
      <c r="P22" s="64">
        <f t="shared" si="2"/>
        <v>189.84</v>
      </c>
      <c r="Q22" s="64">
        <f t="shared" si="3"/>
        <v>285.72000000000003</v>
      </c>
      <c r="R22" s="4"/>
      <c r="S22" s="4"/>
    </row>
    <row r="23" spans="1:19" ht="15" customHeight="1" x14ac:dyDescent="0.15">
      <c r="A23" s="63" t="s">
        <v>798</v>
      </c>
      <c r="B23" s="11">
        <v>258</v>
      </c>
      <c r="C23" s="11">
        <v>77</v>
      </c>
      <c r="D23" s="11">
        <v>77</v>
      </c>
      <c r="E23" s="11"/>
      <c r="F23" s="11">
        <v>109</v>
      </c>
      <c r="G23" s="11"/>
      <c r="H23" s="11">
        <v>67</v>
      </c>
      <c r="I23" s="11">
        <v>59</v>
      </c>
      <c r="J23" s="11"/>
      <c r="K23" s="11"/>
      <c r="L23" s="11">
        <v>1</v>
      </c>
      <c r="M23" s="11"/>
      <c r="N23" s="63" t="s">
        <v>789</v>
      </c>
      <c r="O23" s="63" t="s">
        <v>792</v>
      </c>
      <c r="P23" s="64">
        <f t="shared" si="2"/>
        <v>176.86</v>
      </c>
      <c r="Q23" s="64">
        <f t="shared" si="3"/>
        <v>287.77999999999997</v>
      </c>
      <c r="R23" s="4"/>
      <c r="S23" s="4"/>
    </row>
    <row r="24" spans="1:19" ht="15" customHeight="1" x14ac:dyDescent="0.15">
      <c r="A24" s="63" t="s">
        <v>799</v>
      </c>
      <c r="B24" s="11">
        <v>245</v>
      </c>
      <c r="C24" s="11">
        <v>77</v>
      </c>
      <c r="D24" s="11">
        <v>77</v>
      </c>
      <c r="E24" s="11"/>
      <c r="F24" s="11">
        <v>109</v>
      </c>
      <c r="G24" s="11">
        <v>67</v>
      </c>
      <c r="H24" s="11">
        <v>59</v>
      </c>
      <c r="I24" s="11"/>
      <c r="J24" s="11"/>
      <c r="K24" s="11"/>
      <c r="L24" s="11"/>
      <c r="M24" s="11">
        <v>1</v>
      </c>
      <c r="N24" s="63" t="s">
        <v>747</v>
      </c>
      <c r="O24" s="63" t="s">
        <v>777</v>
      </c>
      <c r="P24" s="64">
        <f t="shared" si="2"/>
        <v>236.44</v>
      </c>
      <c r="Q24" s="64">
        <f t="shared" si="3"/>
        <v>236.44</v>
      </c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3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5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36"/>
  <sheetViews>
    <sheetView workbookViewId="0">
      <selection activeCell="A22" sqref="A22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331</v>
      </c>
      <c r="B2" s="2">
        <v>277</v>
      </c>
      <c r="C2" s="2">
        <v>103</v>
      </c>
      <c r="D2" s="2">
        <v>103</v>
      </c>
      <c r="E2" s="2">
        <v>90</v>
      </c>
      <c r="F2" s="2">
        <v>140</v>
      </c>
      <c r="G2" s="2"/>
      <c r="H2" s="2">
        <v>74</v>
      </c>
      <c r="I2" s="2"/>
      <c r="J2" s="2"/>
      <c r="K2" s="2">
        <v>1</v>
      </c>
      <c r="L2" s="2">
        <v>1</v>
      </c>
      <c r="M2" s="2"/>
      <c r="N2" s="3" t="s">
        <v>30</v>
      </c>
      <c r="O2" s="1" t="s">
        <v>93</v>
      </c>
      <c r="P2" s="4">
        <f t="shared" ref="P2:P13" si="0">D2*0.22+E2*0.59+F2*1+G2*0.98+H2*0.76</f>
        <v>272</v>
      </c>
      <c r="Q2" s="4">
        <f t="shared" ref="Q2:Q13" si="1">P2+I2*1.88</f>
        <v>272</v>
      </c>
      <c r="R2" s="4"/>
      <c r="S2" s="4"/>
    </row>
    <row r="3" spans="1:19" ht="15" customHeight="1" x14ac:dyDescent="0.15">
      <c r="A3" s="1" t="s">
        <v>332</v>
      </c>
      <c r="B3" s="2">
        <v>277</v>
      </c>
      <c r="C3" s="2">
        <v>103</v>
      </c>
      <c r="D3" s="2">
        <v>103</v>
      </c>
      <c r="E3" s="2"/>
      <c r="F3" s="2">
        <v>140</v>
      </c>
      <c r="G3" s="2">
        <v>90</v>
      </c>
      <c r="H3" s="2">
        <v>74</v>
      </c>
      <c r="I3" s="2"/>
      <c r="J3" s="2"/>
      <c r="K3" s="2">
        <v>1</v>
      </c>
      <c r="L3" s="2"/>
      <c r="M3" s="2">
        <v>1</v>
      </c>
      <c r="N3" s="3" t="s">
        <v>30</v>
      </c>
      <c r="O3" s="1" t="s">
        <v>41</v>
      </c>
      <c r="P3" s="4">
        <f t="shared" si="0"/>
        <v>307.10000000000002</v>
      </c>
      <c r="Q3" s="4">
        <f t="shared" si="1"/>
        <v>307.10000000000002</v>
      </c>
      <c r="R3" s="4"/>
      <c r="S3" s="4"/>
    </row>
    <row r="4" spans="1:19" ht="15" customHeight="1" x14ac:dyDescent="0.15">
      <c r="A4" s="1" t="s">
        <v>158</v>
      </c>
      <c r="B4" s="2">
        <v>271</v>
      </c>
      <c r="C4" s="2">
        <v>98</v>
      </c>
      <c r="D4" s="2">
        <v>98</v>
      </c>
      <c r="E4" s="2"/>
      <c r="F4" s="2">
        <v>131</v>
      </c>
      <c r="G4" s="2"/>
      <c r="H4" s="2">
        <v>92</v>
      </c>
      <c r="I4" s="2">
        <v>59</v>
      </c>
      <c r="J4" s="2"/>
      <c r="K4" s="2">
        <v>2</v>
      </c>
      <c r="L4" s="2"/>
      <c r="M4" s="2"/>
      <c r="N4" s="3" t="s">
        <v>30</v>
      </c>
      <c r="O4" s="1" t="s">
        <v>116</v>
      </c>
      <c r="P4" s="4">
        <f t="shared" si="0"/>
        <v>222.48000000000002</v>
      </c>
      <c r="Q4" s="4">
        <f t="shared" si="1"/>
        <v>333.4</v>
      </c>
      <c r="R4" s="4"/>
      <c r="S4" s="4"/>
    </row>
    <row r="5" spans="1:19" ht="15" customHeight="1" x14ac:dyDescent="0.15">
      <c r="A5" s="1" t="s">
        <v>333</v>
      </c>
      <c r="B5" s="2">
        <v>264</v>
      </c>
      <c r="C5" s="2">
        <v>92</v>
      </c>
      <c r="D5" s="2">
        <v>92</v>
      </c>
      <c r="E5" s="2"/>
      <c r="F5" s="2">
        <v>122</v>
      </c>
      <c r="G5" s="2">
        <v>54</v>
      </c>
      <c r="H5" s="2">
        <v>86</v>
      </c>
      <c r="I5" s="2"/>
      <c r="J5" s="2"/>
      <c r="K5" s="2">
        <v>1</v>
      </c>
      <c r="L5" s="2">
        <v>1</v>
      </c>
      <c r="M5" s="2"/>
      <c r="N5" s="3" t="s">
        <v>30</v>
      </c>
      <c r="O5" s="1" t="s">
        <v>97</v>
      </c>
      <c r="P5" s="4">
        <f t="shared" si="0"/>
        <v>260.52000000000004</v>
      </c>
      <c r="Q5" s="4">
        <f t="shared" si="1"/>
        <v>260.52000000000004</v>
      </c>
      <c r="R5" s="4"/>
      <c r="S5" s="4"/>
    </row>
    <row r="6" spans="1:19" ht="15" customHeight="1" x14ac:dyDescent="0.15">
      <c r="A6" s="1" t="s">
        <v>334</v>
      </c>
      <c r="B6" s="2">
        <v>264</v>
      </c>
      <c r="C6" s="2">
        <v>92</v>
      </c>
      <c r="D6" s="2">
        <v>92</v>
      </c>
      <c r="E6" s="2">
        <v>62</v>
      </c>
      <c r="F6" s="2">
        <v>122</v>
      </c>
      <c r="G6" s="2">
        <v>78</v>
      </c>
      <c r="H6" s="2"/>
      <c r="I6" s="2"/>
      <c r="J6" s="2"/>
      <c r="K6" s="2"/>
      <c r="L6" s="2">
        <v>1</v>
      </c>
      <c r="M6" s="2">
        <v>1</v>
      </c>
      <c r="N6" s="3" t="s">
        <v>30</v>
      </c>
      <c r="O6" s="1" t="s">
        <v>161</v>
      </c>
      <c r="P6" s="4">
        <f t="shared" si="0"/>
        <v>255.26</v>
      </c>
      <c r="Q6" s="4">
        <f t="shared" si="1"/>
        <v>255.26</v>
      </c>
      <c r="R6" s="4"/>
      <c r="S6" s="4"/>
    </row>
    <row r="7" spans="1:19" ht="15" customHeight="1" x14ac:dyDescent="0.15">
      <c r="A7" s="1" t="s">
        <v>156</v>
      </c>
      <c r="B7" s="2">
        <v>264</v>
      </c>
      <c r="C7" s="2">
        <v>92</v>
      </c>
      <c r="D7" s="2">
        <v>92</v>
      </c>
      <c r="E7" s="2">
        <v>80</v>
      </c>
      <c r="F7" s="2">
        <v>122</v>
      </c>
      <c r="G7" s="2"/>
      <c r="H7" s="2">
        <v>64</v>
      </c>
      <c r="I7" s="2"/>
      <c r="J7" s="2"/>
      <c r="K7" s="2">
        <v>1</v>
      </c>
      <c r="L7" s="2">
        <v>1</v>
      </c>
      <c r="M7" s="2"/>
      <c r="N7" s="3" t="s">
        <v>30</v>
      </c>
      <c r="O7" s="1" t="s">
        <v>100</v>
      </c>
      <c r="P7" s="4">
        <f t="shared" si="0"/>
        <v>238.07999999999998</v>
      </c>
      <c r="Q7" s="4">
        <f t="shared" si="1"/>
        <v>238.07999999999998</v>
      </c>
      <c r="R7" s="4"/>
      <c r="S7" s="4"/>
    </row>
    <row r="8" spans="1:19" ht="15" customHeight="1" x14ac:dyDescent="0.15">
      <c r="A8" s="1" t="s">
        <v>157</v>
      </c>
      <c r="B8" s="2">
        <v>264</v>
      </c>
      <c r="C8" s="2">
        <v>92</v>
      </c>
      <c r="D8" s="2">
        <v>92</v>
      </c>
      <c r="E8" s="2"/>
      <c r="F8" s="2">
        <v>122</v>
      </c>
      <c r="G8" s="2">
        <v>80</v>
      </c>
      <c r="H8" s="2">
        <v>64</v>
      </c>
      <c r="I8" s="2"/>
      <c r="J8" s="2"/>
      <c r="K8" s="2">
        <v>1</v>
      </c>
      <c r="L8" s="2"/>
      <c r="M8" s="2">
        <v>1</v>
      </c>
      <c r="N8" s="3" t="s">
        <v>30</v>
      </c>
      <c r="O8" s="1" t="s">
        <v>53</v>
      </c>
      <c r="P8" s="4">
        <f t="shared" si="0"/>
        <v>269.28000000000003</v>
      </c>
      <c r="Q8" s="4">
        <f t="shared" si="1"/>
        <v>269.28000000000003</v>
      </c>
      <c r="R8" s="4"/>
      <c r="S8" s="4"/>
    </row>
    <row r="9" spans="1:19" ht="15" customHeight="1" x14ac:dyDescent="0.15">
      <c r="A9" s="1" t="s">
        <v>162</v>
      </c>
      <c r="B9" s="2">
        <v>264</v>
      </c>
      <c r="C9" s="2">
        <v>92</v>
      </c>
      <c r="D9" s="2">
        <v>92</v>
      </c>
      <c r="E9" s="2"/>
      <c r="F9" s="2">
        <v>122</v>
      </c>
      <c r="G9" s="2"/>
      <c r="H9" s="2">
        <v>80</v>
      </c>
      <c r="I9" s="2">
        <v>64</v>
      </c>
      <c r="J9" s="2"/>
      <c r="K9" s="2">
        <v>1</v>
      </c>
      <c r="L9" s="2"/>
      <c r="M9" s="2">
        <v>1</v>
      </c>
      <c r="N9" s="3" t="s">
        <v>128</v>
      </c>
      <c r="O9" s="1" t="s">
        <v>152</v>
      </c>
      <c r="P9" s="4">
        <f t="shared" si="0"/>
        <v>203.04000000000002</v>
      </c>
      <c r="Q9" s="4">
        <f t="shared" si="1"/>
        <v>323.36</v>
      </c>
      <c r="R9" s="4"/>
      <c r="S9" s="4"/>
    </row>
    <row r="10" spans="1:19" ht="15" customHeight="1" x14ac:dyDescent="0.15">
      <c r="A10" s="1" t="s">
        <v>163</v>
      </c>
      <c r="B10" s="2">
        <v>264</v>
      </c>
      <c r="C10" s="2">
        <v>92</v>
      </c>
      <c r="D10" s="2">
        <v>92</v>
      </c>
      <c r="E10" s="2">
        <v>64</v>
      </c>
      <c r="F10" s="2">
        <v>122</v>
      </c>
      <c r="G10" s="2">
        <v>80</v>
      </c>
      <c r="H10" s="2"/>
      <c r="I10" s="2"/>
      <c r="J10" s="2"/>
      <c r="K10" s="2">
        <v>1</v>
      </c>
      <c r="L10" s="2"/>
      <c r="M10" s="2">
        <v>1</v>
      </c>
      <c r="N10" s="3" t="s">
        <v>128</v>
      </c>
      <c r="O10" s="1" t="s">
        <v>152</v>
      </c>
      <c r="P10" s="4">
        <f t="shared" si="0"/>
        <v>258.39999999999998</v>
      </c>
      <c r="Q10" s="4">
        <f t="shared" si="1"/>
        <v>258.39999999999998</v>
      </c>
      <c r="R10" s="4"/>
      <c r="S10" s="4"/>
    </row>
    <row r="11" spans="1:19" ht="15" customHeight="1" x14ac:dyDescent="0.15">
      <c r="A11" s="1" t="s">
        <v>158</v>
      </c>
      <c r="B11" s="2">
        <v>258</v>
      </c>
      <c r="C11" s="2">
        <v>86</v>
      </c>
      <c r="D11" s="2">
        <v>86</v>
      </c>
      <c r="E11" s="2"/>
      <c r="F11" s="2">
        <v>114</v>
      </c>
      <c r="G11" s="2"/>
      <c r="H11" s="2">
        <v>81</v>
      </c>
      <c r="I11" s="2">
        <v>50</v>
      </c>
      <c r="J11" s="2"/>
      <c r="K11" s="2">
        <v>2</v>
      </c>
      <c r="L11" s="2"/>
      <c r="M11" s="2"/>
      <c r="N11" s="3" t="s">
        <v>30</v>
      </c>
      <c r="O11" s="1" t="s">
        <v>126</v>
      </c>
      <c r="P11" s="4">
        <f t="shared" si="0"/>
        <v>194.48000000000002</v>
      </c>
      <c r="Q11" s="4">
        <f t="shared" si="1"/>
        <v>288.48</v>
      </c>
      <c r="R11" s="4"/>
      <c r="S11" s="4"/>
    </row>
    <row r="12" spans="1:19" ht="15" customHeight="1" x14ac:dyDescent="0.15">
      <c r="A12" s="1" t="s">
        <v>159</v>
      </c>
      <c r="B12" s="2">
        <v>251</v>
      </c>
      <c r="C12" s="2">
        <v>81</v>
      </c>
      <c r="D12" s="2">
        <v>81</v>
      </c>
      <c r="E12" s="2"/>
      <c r="F12" s="2">
        <v>106</v>
      </c>
      <c r="G12" s="2">
        <v>46</v>
      </c>
      <c r="H12" s="2">
        <v>76</v>
      </c>
      <c r="I12" s="2"/>
      <c r="J12" s="2"/>
      <c r="K12" s="2">
        <v>1</v>
      </c>
      <c r="L12" s="2">
        <v>1</v>
      </c>
      <c r="M12" s="2"/>
      <c r="N12" s="3" t="s">
        <v>30</v>
      </c>
      <c r="O12" s="1" t="s">
        <v>101</v>
      </c>
      <c r="P12" s="4">
        <f t="shared" si="0"/>
        <v>226.65999999999997</v>
      </c>
      <c r="Q12" s="4">
        <f t="shared" si="1"/>
        <v>226.65999999999997</v>
      </c>
      <c r="R12" s="4"/>
      <c r="S12" s="4"/>
    </row>
    <row r="13" spans="1:19" ht="15" customHeight="1" x14ac:dyDescent="0.15">
      <c r="A13" s="1" t="s">
        <v>160</v>
      </c>
      <c r="B13" s="2">
        <v>251</v>
      </c>
      <c r="C13" s="2">
        <v>81</v>
      </c>
      <c r="D13" s="2">
        <v>81</v>
      </c>
      <c r="E13" s="2">
        <v>54</v>
      </c>
      <c r="F13" s="2">
        <v>106</v>
      </c>
      <c r="G13" s="2">
        <v>68</v>
      </c>
      <c r="H13" s="2"/>
      <c r="I13" s="2"/>
      <c r="J13" s="2"/>
      <c r="K13" s="2"/>
      <c r="L13" s="2">
        <v>1</v>
      </c>
      <c r="M13" s="2">
        <v>1</v>
      </c>
      <c r="N13" s="3" t="s">
        <v>30</v>
      </c>
      <c r="O13" s="1" t="s">
        <v>164</v>
      </c>
      <c r="P13" s="4">
        <f t="shared" si="0"/>
        <v>222.32</v>
      </c>
      <c r="Q13" s="4">
        <f t="shared" si="1"/>
        <v>222.32</v>
      </c>
      <c r="R13" s="4"/>
      <c r="S13" s="4"/>
    </row>
    <row r="14" spans="1:19" ht="15" customHeight="1" x14ac:dyDescent="0.15">
      <c r="A14" s="62" t="s">
        <v>778</v>
      </c>
      <c r="B14" s="11">
        <v>258</v>
      </c>
      <c r="C14" s="11">
        <v>86</v>
      </c>
      <c r="D14" s="11">
        <v>86</v>
      </c>
      <c r="E14" s="11"/>
      <c r="F14" s="11">
        <v>114</v>
      </c>
      <c r="G14" s="11"/>
      <c r="H14" s="11">
        <v>73</v>
      </c>
      <c r="I14" s="11">
        <v>58</v>
      </c>
      <c r="J14" s="11"/>
      <c r="K14" s="11">
        <v>1</v>
      </c>
      <c r="L14" s="11"/>
      <c r="M14" s="11">
        <v>1</v>
      </c>
      <c r="N14" s="63" t="s">
        <v>747</v>
      </c>
      <c r="O14" s="63" t="s">
        <v>718</v>
      </c>
      <c r="P14" s="64">
        <f t="shared" ref="P14:P20" si="2">D14*0.22+E14*0.59+F14*1+G14*0.98+H14*0.76</f>
        <v>188.40000000000003</v>
      </c>
      <c r="Q14" s="64">
        <f t="shared" ref="Q14:Q20" si="3">P14+I14*1.88</f>
        <v>297.44000000000005</v>
      </c>
      <c r="R14" s="4"/>
      <c r="S14" s="4"/>
    </row>
    <row r="15" spans="1:19" ht="15" customHeight="1" x14ac:dyDescent="0.15">
      <c r="A15" s="62" t="s">
        <v>779</v>
      </c>
      <c r="B15" s="11">
        <v>258</v>
      </c>
      <c r="C15" s="11">
        <v>86</v>
      </c>
      <c r="D15" s="11">
        <v>86</v>
      </c>
      <c r="E15" s="11">
        <v>76</v>
      </c>
      <c r="F15" s="11">
        <v>114</v>
      </c>
      <c r="G15" s="11">
        <v>60</v>
      </c>
      <c r="H15" s="11"/>
      <c r="I15" s="11"/>
      <c r="J15" s="11"/>
      <c r="K15" s="11">
        <v>1</v>
      </c>
      <c r="L15" s="11"/>
      <c r="M15" s="11">
        <v>1</v>
      </c>
      <c r="N15" s="63" t="s">
        <v>763</v>
      </c>
      <c r="O15" s="63" t="s">
        <v>718</v>
      </c>
      <c r="P15" s="64">
        <f t="shared" si="2"/>
        <v>236.56</v>
      </c>
      <c r="Q15" s="64">
        <f t="shared" si="3"/>
        <v>236.56</v>
      </c>
      <c r="R15" s="4"/>
      <c r="S15" s="4"/>
    </row>
    <row r="16" spans="1:19" ht="15" customHeight="1" x14ac:dyDescent="0.15">
      <c r="A16" s="62" t="s">
        <v>780</v>
      </c>
      <c r="B16" s="11">
        <v>245</v>
      </c>
      <c r="C16" s="11">
        <v>77</v>
      </c>
      <c r="D16" s="11">
        <v>77</v>
      </c>
      <c r="E16" s="11"/>
      <c r="F16" s="11">
        <v>109</v>
      </c>
      <c r="G16" s="11"/>
      <c r="H16" s="11">
        <v>72</v>
      </c>
      <c r="I16" s="11">
        <v>51</v>
      </c>
      <c r="J16" s="11"/>
      <c r="K16" s="11"/>
      <c r="L16" s="11"/>
      <c r="M16" s="11">
        <v>1</v>
      </c>
      <c r="N16" s="63" t="s">
        <v>747</v>
      </c>
      <c r="O16" s="62" t="s">
        <v>777</v>
      </c>
      <c r="P16" s="64">
        <f t="shared" si="2"/>
        <v>180.66</v>
      </c>
      <c r="Q16" s="64">
        <f t="shared" si="3"/>
        <v>276.53999999999996</v>
      </c>
      <c r="R16" s="4"/>
      <c r="S16" s="4"/>
    </row>
    <row r="17" spans="1:19" ht="15" customHeight="1" x14ac:dyDescent="0.15">
      <c r="A17" s="62" t="s">
        <v>781</v>
      </c>
      <c r="B17" s="11">
        <v>245</v>
      </c>
      <c r="C17" s="11">
        <v>77</v>
      </c>
      <c r="D17" s="11">
        <v>77</v>
      </c>
      <c r="E17" s="11">
        <v>67</v>
      </c>
      <c r="F17" s="11">
        <v>109</v>
      </c>
      <c r="G17" s="11">
        <v>59</v>
      </c>
      <c r="H17" s="11"/>
      <c r="I17" s="11"/>
      <c r="J17" s="11"/>
      <c r="K17" s="11"/>
      <c r="L17" s="11"/>
      <c r="M17" s="11">
        <v>1</v>
      </c>
      <c r="N17" s="63" t="s">
        <v>763</v>
      </c>
      <c r="O17" s="62" t="s">
        <v>777</v>
      </c>
      <c r="P17" s="64">
        <f t="shared" si="2"/>
        <v>223.29</v>
      </c>
      <c r="Q17" s="64">
        <f t="shared" si="3"/>
        <v>223.29</v>
      </c>
      <c r="R17" s="4"/>
      <c r="S17" s="4"/>
    </row>
    <row r="18" spans="1:19" ht="15" customHeight="1" x14ac:dyDescent="0.15">
      <c r="A18" s="62" t="s">
        <v>782</v>
      </c>
      <c r="B18" s="11">
        <v>264</v>
      </c>
      <c r="C18" s="11">
        <v>137</v>
      </c>
      <c r="D18" s="11">
        <v>61</v>
      </c>
      <c r="E18" s="11"/>
      <c r="F18" s="11">
        <v>132</v>
      </c>
      <c r="G18" s="11">
        <v>72</v>
      </c>
      <c r="H18" s="11"/>
      <c r="I18" s="11"/>
      <c r="J18" s="11"/>
      <c r="K18" s="11"/>
      <c r="L18" s="11"/>
      <c r="M18" s="11">
        <v>1</v>
      </c>
      <c r="N18" s="63" t="s">
        <v>783</v>
      </c>
      <c r="O18" s="62" t="s">
        <v>784</v>
      </c>
      <c r="P18" s="64">
        <f t="shared" si="2"/>
        <v>215.98</v>
      </c>
      <c r="Q18" s="64">
        <f t="shared" si="3"/>
        <v>215.98</v>
      </c>
      <c r="R18" s="4"/>
      <c r="S18" s="4"/>
    </row>
    <row r="19" spans="1:19" ht="15" customHeight="1" x14ac:dyDescent="0.15">
      <c r="A19" s="62" t="s">
        <v>785</v>
      </c>
      <c r="B19" s="11">
        <v>245</v>
      </c>
      <c r="C19" s="11">
        <v>77</v>
      </c>
      <c r="D19" s="11">
        <v>67</v>
      </c>
      <c r="E19" s="11"/>
      <c r="F19" s="11">
        <v>99</v>
      </c>
      <c r="G19" s="11"/>
      <c r="H19" s="11">
        <v>67</v>
      </c>
      <c r="I19" s="11">
        <v>61</v>
      </c>
      <c r="J19" s="11"/>
      <c r="K19" s="11">
        <v>1</v>
      </c>
      <c r="L19" s="11">
        <v>1</v>
      </c>
      <c r="M19" s="11"/>
      <c r="N19" s="63" t="s">
        <v>786</v>
      </c>
      <c r="O19" s="62" t="s">
        <v>725</v>
      </c>
      <c r="P19" s="64">
        <f t="shared" si="2"/>
        <v>164.66</v>
      </c>
      <c r="Q19" s="64">
        <f t="shared" si="3"/>
        <v>279.33999999999997</v>
      </c>
      <c r="R19" s="4"/>
      <c r="S19" s="4"/>
    </row>
    <row r="20" spans="1:19" ht="15" customHeight="1" x14ac:dyDescent="0.15">
      <c r="A20" s="62" t="s">
        <v>787</v>
      </c>
      <c r="B20" s="11">
        <v>245</v>
      </c>
      <c r="C20" s="11">
        <v>77</v>
      </c>
      <c r="D20" s="11">
        <v>73</v>
      </c>
      <c r="E20" s="11">
        <v>72</v>
      </c>
      <c r="F20" s="11">
        <v>118</v>
      </c>
      <c r="G20" s="11"/>
      <c r="H20" s="11">
        <v>47</v>
      </c>
      <c r="I20" s="11"/>
      <c r="J20" s="11"/>
      <c r="K20" s="11"/>
      <c r="L20" s="11">
        <v>1</v>
      </c>
      <c r="M20" s="11"/>
      <c r="N20" s="63" t="s">
        <v>756</v>
      </c>
      <c r="O20" s="62" t="s">
        <v>725</v>
      </c>
      <c r="P20" s="64">
        <f t="shared" si="2"/>
        <v>212.26</v>
      </c>
      <c r="Q20" s="64">
        <f t="shared" si="3"/>
        <v>212.26</v>
      </c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S49"/>
  <sheetViews>
    <sheetView workbookViewId="0">
      <selection activeCell="O20" sqref="O20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335</v>
      </c>
      <c r="B2" s="2">
        <v>277</v>
      </c>
      <c r="C2" s="2">
        <v>139</v>
      </c>
      <c r="D2" s="2">
        <v>139</v>
      </c>
      <c r="E2" s="2"/>
      <c r="F2" s="2">
        <v>195</v>
      </c>
      <c r="G2" s="2"/>
      <c r="H2" s="2">
        <v>122</v>
      </c>
      <c r="I2" s="2">
        <v>106</v>
      </c>
      <c r="J2" s="2"/>
      <c r="K2" s="2"/>
      <c r="L2" s="2">
        <v>1</v>
      </c>
      <c r="M2" s="2">
        <v>1</v>
      </c>
      <c r="N2" s="3" t="s">
        <v>128</v>
      </c>
      <c r="O2" s="3" t="s">
        <v>79</v>
      </c>
      <c r="P2" s="4">
        <f>D2*0.22+E2*0.59+F2*1+G2*0.98+H2*0.76</f>
        <v>318.3</v>
      </c>
      <c r="Q2" s="4">
        <f>P2+I2*1.88</f>
        <v>517.58000000000004</v>
      </c>
    </row>
    <row r="3" spans="1:19" ht="15" customHeight="1" x14ac:dyDescent="0.15">
      <c r="A3" s="3" t="s">
        <v>336</v>
      </c>
      <c r="B3" s="2">
        <v>277</v>
      </c>
      <c r="C3" s="2">
        <v>139</v>
      </c>
      <c r="D3" s="2">
        <v>139</v>
      </c>
      <c r="E3" s="2">
        <v>122</v>
      </c>
      <c r="F3" s="2">
        <v>195</v>
      </c>
      <c r="G3" s="2">
        <v>106</v>
      </c>
      <c r="H3" s="2"/>
      <c r="I3" s="2"/>
      <c r="J3" s="2"/>
      <c r="K3" s="2"/>
      <c r="L3" s="2">
        <v>1</v>
      </c>
      <c r="M3" s="2">
        <v>1</v>
      </c>
      <c r="N3" s="3" t="s">
        <v>128</v>
      </c>
      <c r="O3" s="3" t="s">
        <v>81</v>
      </c>
      <c r="P3" s="4">
        <f>D3*0.22+E3*0.59+F3*1+G3*0.98+H3*0.76</f>
        <v>401.44</v>
      </c>
      <c r="Q3" s="4">
        <f>P3+I3*1.88</f>
        <v>401.44</v>
      </c>
    </row>
    <row r="4" spans="1:19" ht="15" customHeight="1" x14ac:dyDescent="0.15">
      <c r="A4" s="3" t="s">
        <v>337</v>
      </c>
      <c r="B4" s="2">
        <v>277</v>
      </c>
      <c r="C4" s="2">
        <v>139</v>
      </c>
      <c r="D4" s="2">
        <v>139</v>
      </c>
      <c r="E4" s="2"/>
      <c r="F4" s="2">
        <v>185</v>
      </c>
      <c r="G4" s="2">
        <v>116</v>
      </c>
      <c r="H4" s="2"/>
      <c r="I4" s="2">
        <v>104</v>
      </c>
      <c r="J4" s="2"/>
      <c r="K4" s="2">
        <v>1</v>
      </c>
      <c r="L4" s="2">
        <v>1</v>
      </c>
      <c r="M4" s="2">
        <v>1</v>
      </c>
      <c r="N4" s="3" t="s">
        <v>18</v>
      </c>
      <c r="O4" s="3" t="s">
        <v>93</v>
      </c>
      <c r="P4" s="4">
        <f t="shared" ref="P4:P11" si="0">D4*0.22+E4*0.59+F4*1+G4*0.98+H4*0.76</f>
        <v>329.26</v>
      </c>
      <c r="Q4" s="4">
        <f t="shared" ref="Q4:Q11" si="1">P4+I4*1.88</f>
        <v>524.78</v>
      </c>
      <c r="R4" s="4"/>
      <c r="S4" s="4"/>
    </row>
    <row r="5" spans="1:19" ht="15" customHeight="1" x14ac:dyDescent="0.15">
      <c r="A5" s="3" t="s">
        <v>165</v>
      </c>
      <c r="B5" s="2">
        <v>264</v>
      </c>
      <c r="C5" s="2">
        <v>123</v>
      </c>
      <c r="D5" s="2">
        <v>123</v>
      </c>
      <c r="E5" s="2"/>
      <c r="F5" s="2">
        <v>171</v>
      </c>
      <c r="G5" s="2"/>
      <c r="H5" s="2">
        <v>108</v>
      </c>
      <c r="I5" s="2">
        <v>92</v>
      </c>
      <c r="J5" s="2"/>
      <c r="K5" s="2"/>
      <c r="L5" s="2">
        <v>1</v>
      </c>
      <c r="M5" s="2">
        <v>1</v>
      </c>
      <c r="N5" s="3" t="s">
        <v>128</v>
      </c>
      <c r="O5" s="3" t="s">
        <v>85</v>
      </c>
      <c r="P5" s="4">
        <f t="shared" si="0"/>
        <v>280.14</v>
      </c>
      <c r="Q5" s="4">
        <f t="shared" si="1"/>
        <v>453.09999999999997</v>
      </c>
      <c r="R5" s="4"/>
      <c r="S5" s="4"/>
    </row>
    <row r="6" spans="1:19" ht="15" customHeight="1" x14ac:dyDescent="0.15">
      <c r="A6" s="3" t="s">
        <v>166</v>
      </c>
      <c r="B6" s="2">
        <v>264</v>
      </c>
      <c r="C6" s="2">
        <v>123</v>
      </c>
      <c r="D6" s="2">
        <v>123</v>
      </c>
      <c r="E6" s="2">
        <v>108</v>
      </c>
      <c r="F6" s="2">
        <v>171</v>
      </c>
      <c r="G6" s="2">
        <v>92</v>
      </c>
      <c r="H6" s="2"/>
      <c r="I6" s="2"/>
      <c r="J6" s="2"/>
      <c r="K6" s="2"/>
      <c r="L6" s="2">
        <v>1</v>
      </c>
      <c r="M6" s="2">
        <v>1</v>
      </c>
      <c r="N6" s="3" t="s">
        <v>128</v>
      </c>
      <c r="O6" s="3" t="s">
        <v>86</v>
      </c>
      <c r="P6" s="4">
        <f t="shared" si="0"/>
        <v>351.93999999999994</v>
      </c>
      <c r="Q6" s="4">
        <f t="shared" si="1"/>
        <v>351.93999999999994</v>
      </c>
      <c r="R6" s="4"/>
      <c r="S6" s="4"/>
    </row>
    <row r="7" spans="1:19" ht="15" customHeight="1" x14ac:dyDescent="0.15">
      <c r="A7" s="3" t="s">
        <v>338</v>
      </c>
      <c r="B7" s="2">
        <v>264</v>
      </c>
      <c r="C7" s="2">
        <v>111</v>
      </c>
      <c r="D7" s="2">
        <v>115</v>
      </c>
      <c r="E7" s="2">
        <v>92</v>
      </c>
      <c r="F7" s="2">
        <v>171</v>
      </c>
      <c r="G7" s="2"/>
      <c r="H7" s="2">
        <v>108</v>
      </c>
      <c r="I7" s="2"/>
      <c r="J7" s="2"/>
      <c r="K7" s="2">
        <v>1</v>
      </c>
      <c r="L7" s="2">
        <v>1</v>
      </c>
      <c r="M7" s="2">
        <v>1</v>
      </c>
      <c r="N7" s="3" t="s">
        <v>18</v>
      </c>
      <c r="O7" s="3" t="s">
        <v>29</v>
      </c>
      <c r="P7" s="4">
        <f t="shared" si="0"/>
        <v>332.65999999999997</v>
      </c>
      <c r="Q7" s="4">
        <f t="shared" si="1"/>
        <v>332.65999999999997</v>
      </c>
      <c r="R7" s="4"/>
      <c r="S7" s="4"/>
    </row>
    <row r="8" spans="1:19" ht="15" customHeight="1" x14ac:dyDescent="0.15">
      <c r="A8" s="3" t="s">
        <v>339</v>
      </c>
      <c r="B8" s="2">
        <v>264</v>
      </c>
      <c r="C8" s="2">
        <v>123</v>
      </c>
      <c r="D8" s="2">
        <v>123</v>
      </c>
      <c r="E8" s="2"/>
      <c r="F8" s="2">
        <v>162</v>
      </c>
      <c r="G8" s="2">
        <v>96</v>
      </c>
      <c r="H8" s="2">
        <v>96</v>
      </c>
      <c r="I8" s="2"/>
      <c r="J8" s="2"/>
      <c r="K8" s="2">
        <v>1</v>
      </c>
      <c r="L8" s="2">
        <v>2</v>
      </c>
      <c r="M8" s="2"/>
      <c r="N8" s="3" t="s">
        <v>18</v>
      </c>
      <c r="O8" s="3" t="s">
        <v>25</v>
      </c>
      <c r="P8" s="4">
        <f t="shared" si="0"/>
        <v>356.1</v>
      </c>
      <c r="Q8" s="4">
        <f t="shared" si="1"/>
        <v>356.1</v>
      </c>
      <c r="R8" s="4"/>
      <c r="S8" s="4"/>
    </row>
    <row r="9" spans="1:19" ht="15" customHeight="1" x14ac:dyDescent="0.15">
      <c r="A9" s="3" t="s">
        <v>167</v>
      </c>
      <c r="B9" s="2">
        <v>264</v>
      </c>
      <c r="C9" s="2">
        <v>123</v>
      </c>
      <c r="D9" s="2">
        <v>123</v>
      </c>
      <c r="E9" s="2"/>
      <c r="F9" s="2">
        <v>171</v>
      </c>
      <c r="G9" s="2">
        <v>102</v>
      </c>
      <c r="H9" s="2"/>
      <c r="I9" s="2">
        <v>98</v>
      </c>
      <c r="J9" s="2"/>
      <c r="K9" s="2">
        <v>1</v>
      </c>
      <c r="L9" s="2"/>
      <c r="M9" s="2">
        <v>1</v>
      </c>
      <c r="N9" s="3" t="s">
        <v>30</v>
      </c>
      <c r="O9" s="3" t="s">
        <v>100</v>
      </c>
      <c r="P9" s="4">
        <f t="shared" si="0"/>
        <v>298.02</v>
      </c>
      <c r="Q9" s="4">
        <f t="shared" si="1"/>
        <v>482.26</v>
      </c>
      <c r="R9" s="4"/>
      <c r="S9" s="4"/>
    </row>
    <row r="10" spans="1:19" ht="15" customHeight="1" x14ac:dyDescent="0.15">
      <c r="A10" s="3" t="s">
        <v>170</v>
      </c>
      <c r="B10" s="2">
        <v>264</v>
      </c>
      <c r="C10" s="2">
        <v>123</v>
      </c>
      <c r="D10" s="2">
        <v>123</v>
      </c>
      <c r="E10" s="2"/>
      <c r="F10" s="2">
        <v>162</v>
      </c>
      <c r="G10" s="2">
        <v>108</v>
      </c>
      <c r="H10" s="2">
        <v>84</v>
      </c>
      <c r="I10" s="2"/>
      <c r="J10" s="2"/>
      <c r="K10" s="2">
        <v>1</v>
      </c>
      <c r="L10" s="2">
        <v>1</v>
      </c>
      <c r="M10" s="2">
        <v>1</v>
      </c>
      <c r="N10" s="3" t="s">
        <v>84</v>
      </c>
      <c r="O10" s="3" t="s">
        <v>171</v>
      </c>
      <c r="P10" s="4">
        <f t="shared" si="0"/>
        <v>358.74</v>
      </c>
      <c r="Q10" s="4">
        <f t="shared" si="1"/>
        <v>358.74</v>
      </c>
      <c r="R10" s="4"/>
      <c r="S10" s="4"/>
    </row>
    <row r="11" spans="1:19" ht="15" customHeight="1" x14ac:dyDescent="0.15">
      <c r="A11" s="3" t="s">
        <v>172</v>
      </c>
      <c r="B11" s="2">
        <v>264</v>
      </c>
      <c r="C11" s="2">
        <v>123</v>
      </c>
      <c r="D11" s="2">
        <v>123</v>
      </c>
      <c r="E11" s="2">
        <v>108</v>
      </c>
      <c r="F11" s="2">
        <v>162</v>
      </c>
      <c r="G11" s="2"/>
      <c r="H11" s="2">
        <v>84</v>
      </c>
      <c r="I11" s="2"/>
      <c r="J11" s="2"/>
      <c r="K11" s="2">
        <v>1</v>
      </c>
      <c r="L11" s="2">
        <v>1</v>
      </c>
      <c r="M11" s="2">
        <v>1</v>
      </c>
      <c r="N11" s="3" t="s">
        <v>84</v>
      </c>
      <c r="O11" s="3" t="s">
        <v>171</v>
      </c>
      <c r="P11" s="4">
        <f t="shared" si="0"/>
        <v>316.62</v>
      </c>
      <c r="Q11" s="4">
        <f t="shared" si="1"/>
        <v>316.62</v>
      </c>
      <c r="R11" s="4"/>
      <c r="S11" s="4"/>
    </row>
    <row r="12" spans="1:19" ht="15" customHeight="1" x14ac:dyDescent="0.15">
      <c r="A12" s="3" t="s">
        <v>173</v>
      </c>
      <c r="B12" s="2">
        <v>251</v>
      </c>
      <c r="C12" s="2">
        <v>109</v>
      </c>
      <c r="D12" s="2">
        <v>109</v>
      </c>
      <c r="E12" s="2"/>
      <c r="F12" s="2">
        <v>149</v>
      </c>
      <c r="G12" s="2"/>
      <c r="H12" s="2">
        <v>96</v>
      </c>
      <c r="I12" s="2">
        <v>80</v>
      </c>
      <c r="J12" s="2"/>
      <c r="K12" s="2"/>
      <c r="L12" s="2">
        <v>1</v>
      </c>
      <c r="M12" s="2">
        <v>1</v>
      </c>
      <c r="N12" s="3" t="s">
        <v>128</v>
      </c>
      <c r="O12" s="3" t="s">
        <v>89</v>
      </c>
      <c r="P12" s="4">
        <f t="shared" ref="P12:P17" si="2">D12*0.22+E12*0.59+F12*1+G12*0.98+H12*0.76</f>
        <v>245.94</v>
      </c>
      <c r="Q12" s="4">
        <f t="shared" ref="Q12:Q17" si="3">P12+I12*1.88</f>
        <v>396.34</v>
      </c>
      <c r="R12" s="4"/>
      <c r="S12" s="4"/>
    </row>
    <row r="13" spans="1:19" ht="15" customHeight="1" x14ac:dyDescent="0.15">
      <c r="A13" s="3" t="s">
        <v>174</v>
      </c>
      <c r="B13" s="2">
        <v>251</v>
      </c>
      <c r="C13" s="2">
        <v>109</v>
      </c>
      <c r="D13" s="2">
        <v>109</v>
      </c>
      <c r="E13" s="2">
        <v>96</v>
      </c>
      <c r="F13" s="2">
        <v>149</v>
      </c>
      <c r="G13" s="2">
        <v>80</v>
      </c>
      <c r="H13" s="2"/>
      <c r="I13" s="2"/>
      <c r="J13" s="2"/>
      <c r="K13" s="2"/>
      <c r="L13" s="2">
        <v>1</v>
      </c>
      <c r="M13" s="2">
        <v>1</v>
      </c>
      <c r="N13" s="3" t="s">
        <v>128</v>
      </c>
      <c r="O13" s="3" t="s">
        <v>90</v>
      </c>
      <c r="P13" s="4">
        <f t="shared" si="2"/>
        <v>308.02</v>
      </c>
      <c r="Q13" s="4">
        <f t="shared" si="3"/>
        <v>308.02</v>
      </c>
      <c r="R13" s="4"/>
      <c r="S13" s="4"/>
    </row>
    <row r="14" spans="1:19" ht="15" customHeight="1" x14ac:dyDescent="0.15">
      <c r="A14" s="3" t="s">
        <v>168</v>
      </c>
      <c r="B14" s="2">
        <v>251</v>
      </c>
      <c r="C14" s="2">
        <v>97</v>
      </c>
      <c r="D14" s="2">
        <v>101</v>
      </c>
      <c r="E14" s="2">
        <v>80</v>
      </c>
      <c r="F14" s="2">
        <v>149</v>
      </c>
      <c r="G14" s="2"/>
      <c r="H14" s="2">
        <v>96</v>
      </c>
      <c r="I14" s="2"/>
      <c r="J14" s="2"/>
      <c r="K14" s="2">
        <v>1</v>
      </c>
      <c r="L14" s="2">
        <v>1</v>
      </c>
      <c r="M14" s="2">
        <v>1</v>
      </c>
      <c r="N14" s="3" t="s">
        <v>18</v>
      </c>
      <c r="O14" s="3" t="s">
        <v>33</v>
      </c>
      <c r="P14" s="4">
        <f t="shared" si="2"/>
        <v>291.38</v>
      </c>
      <c r="Q14" s="4">
        <f t="shared" si="3"/>
        <v>291.38</v>
      </c>
      <c r="R14" s="4"/>
      <c r="S14" s="4"/>
    </row>
    <row r="15" spans="1:19" ht="15" customHeight="1" x14ac:dyDescent="0.15">
      <c r="A15" s="3" t="s">
        <v>169</v>
      </c>
      <c r="B15" s="2">
        <v>251</v>
      </c>
      <c r="C15" s="2">
        <v>109</v>
      </c>
      <c r="D15" s="2">
        <v>109</v>
      </c>
      <c r="E15" s="2"/>
      <c r="F15" s="2">
        <v>140</v>
      </c>
      <c r="G15" s="2">
        <v>84</v>
      </c>
      <c r="H15" s="2">
        <v>84</v>
      </c>
      <c r="I15" s="2"/>
      <c r="J15" s="2"/>
      <c r="K15" s="2">
        <v>1</v>
      </c>
      <c r="L15" s="2">
        <v>2</v>
      </c>
      <c r="M15" s="2"/>
      <c r="N15" s="3" t="s">
        <v>18</v>
      </c>
      <c r="O15" s="3" t="s">
        <v>35</v>
      </c>
      <c r="P15" s="4">
        <f t="shared" si="2"/>
        <v>310.14</v>
      </c>
      <c r="Q15" s="4">
        <f t="shared" si="3"/>
        <v>310.14</v>
      </c>
      <c r="R15" s="4"/>
      <c r="S15" s="4"/>
    </row>
    <row r="16" spans="1:19" ht="15" customHeight="1" x14ac:dyDescent="0.15">
      <c r="A16" s="63" t="s">
        <v>762</v>
      </c>
      <c r="B16" s="11">
        <v>270</v>
      </c>
      <c r="C16" s="11">
        <v>195</v>
      </c>
      <c r="D16" s="11">
        <v>87</v>
      </c>
      <c r="E16" s="11"/>
      <c r="F16" s="11">
        <v>182</v>
      </c>
      <c r="G16" s="11"/>
      <c r="H16" s="11">
        <v>98</v>
      </c>
      <c r="I16" s="11"/>
      <c r="J16" s="11"/>
      <c r="K16" s="11">
        <v>1</v>
      </c>
      <c r="L16" s="11"/>
      <c r="M16" s="11">
        <v>1</v>
      </c>
      <c r="N16" s="63" t="s">
        <v>763</v>
      </c>
      <c r="O16" s="63" t="s">
        <v>712</v>
      </c>
      <c r="P16" s="4">
        <f t="shared" si="2"/>
        <v>275.62</v>
      </c>
      <c r="Q16" s="4">
        <f t="shared" si="3"/>
        <v>275.62</v>
      </c>
      <c r="R16" s="4"/>
      <c r="S16" s="4"/>
    </row>
    <row r="17" spans="1:19" ht="15" customHeight="1" x14ac:dyDescent="0.15">
      <c r="A17" s="63" t="s">
        <v>764</v>
      </c>
      <c r="B17" s="11">
        <v>270</v>
      </c>
      <c r="C17" s="11">
        <v>195</v>
      </c>
      <c r="D17" s="11">
        <v>87</v>
      </c>
      <c r="E17" s="11">
        <v>98</v>
      </c>
      <c r="F17" s="11">
        <v>182</v>
      </c>
      <c r="G17" s="11"/>
      <c r="H17" s="11"/>
      <c r="I17" s="11"/>
      <c r="J17" s="11"/>
      <c r="K17" s="11">
        <v>1</v>
      </c>
      <c r="L17" s="11"/>
      <c r="M17" s="11">
        <v>1</v>
      </c>
      <c r="N17" s="63" t="s">
        <v>763</v>
      </c>
      <c r="O17" s="63" t="s">
        <v>712</v>
      </c>
      <c r="P17" s="4">
        <f t="shared" si="2"/>
        <v>258.96000000000004</v>
      </c>
      <c r="Q17" s="4">
        <f t="shared" si="3"/>
        <v>258.96000000000004</v>
      </c>
      <c r="R17" s="4"/>
      <c r="S17" s="4"/>
    </row>
    <row r="18" spans="1:19" ht="15" customHeight="1" x14ac:dyDescent="0.15">
      <c r="A18" s="63" t="s">
        <v>765</v>
      </c>
      <c r="B18" s="11">
        <v>258</v>
      </c>
      <c r="C18" s="11">
        <v>116</v>
      </c>
      <c r="D18" s="11">
        <v>116</v>
      </c>
      <c r="E18" s="11"/>
      <c r="F18" s="11">
        <v>160</v>
      </c>
      <c r="G18" s="11">
        <v>86</v>
      </c>
      <c r="H18" s="11"/>
      <c r="I18" s="11">
        <v>102</v>
      </c>
      <c r="J18" s="11"/>
      <c r="K18" s="11">
        <v>1</v>
      </c>
      <c r="L18" s="11"/>
      <c r="M18" s="11">
        <v>1</v>
      </c>
      <c r="N18" s="63" t="s">
        <v>747</v>
      </c>
      <c r="O18" s="63" t="s">
        <v>766</v>
      </c>
      <c r="P18" s="4">
        <f t="shared" ref="P18:P24" si="4">D18*0.22+E18*0.59+F18*1+G18*0.98+H18*0.76</f>
        <v>269.8</v>
      </c>
      <c r="Q18" s="4">
        <f t="shared" ref="Q18:Q24" si="5">P18+I18*1.88</f>
        <v>461.56</v>
      </c>
      <c r="R18" s="4"/>
      <c r="S18" s="4"/>
    </row>
    <row r="19" spans="1:19" ht="15" customHeight="1" x14ac:dyDescent="0.15">
      <c r="A19" s="63" t="s">
        <v>768</v>
      </c>
      <c r="B19" s="11">
        <v>258</v>
      </c>
      <c r="C19" s="11">
        <v>116</v>
      </c>
      <c r="D19" s="11">
        <v>116</v>
      </c>
      <c r="E19" s="11">
        <v>94</v>
      </c>
      <c r="F19" s="11">
        <v>151</v>
      </c>
      <c r="G19" s="11">
        <v>86</v>
      </c>
      <c r="H19" s="11"/>
      <c r="I19" s="11"/>
      <c r="J19" s="11"/>
      <c r="K19" s="11">
        <v>1</v>
      </c>
      <c r="L19" s="11"/>
      <c r="M19" s="11">
        <v>2</v>
      </c>
      <c r="N19" s="63" t="s">
        <v>767</v>
      </c>
      <c r="O19" s="63" t="s">
        <v>716</v>
      </c>
      <c r="P19" s="4">
        <f t="shared" si="4"/>
        <v>316.26</v>
      </c>
      <c r="Q19" s="4">
        <f t="shared" si="5"/>
        <v>316.26</v>
      </c>
      <c r="R19" s="4"/>
      <c r="S19" s="4"/>
    </row>
    <row r="20" spans="1:19" ht="15" customHeight="1" x14ac:dyDescent="0.15">
      <c r="A20" s="63" t="s">
        <v>769</v>
      </c>
      <c r="B20" s="11">
        <v>258</v>
      </c>
      <c r="C20" s="11">
        <v>116</v>
      </c>
      <c r="D20" s="11">
        <v>116</v>
      </c>
      <c r="E20" s="11"/>
      <c r="F20" s="11">
        <v>151</v>
      </c>
      <c r="G20" s="11"/>
      <c r="H20" s="11">
        <v>86</v>
      </c>
      <c r="I20" s="11">
        <v>94</v>
      </c>
      <c r="J20" s="11"/>
      <c r="K20" s="11">
        <v>1</v>
      </c>
      <c r="L20" s="11">
        <v>1</v>
      </c>
      <c r="M20" s="11">
        <v>1</v>
      </c>
      <c r="N20" s="63" t="s">
        <v>770</v>
      </c>
      <c r="O20" s="63" t="s">
        <v>718</v>
      </c>
      <c r="P20" s="4">
        <f t="shared" si="4"/>
        <v>241.88</v>
      </c>
      <c r="Q20" s="4">
        <f t="shared" si="5"/>
        <v>418.6</v>
      </c>
      <c r="R20" s="4"/>
      <c r="S20" s="4"/>
    </row>
    <row r="21" spans="1:19" ht="15" customHeight="1" x14ac:dyDescent="0.15">
      <c r="A21" s="63" t="s">
        <v>771</v>
      </c>
      <c r="B21" s="11">
        <v>245</v>
      </c>
      <c r="C21" s="11">
        <v>103</v>
      </c>
      <c r="D21" s="11">
        <v>103</v>
      </c>
      <c r="E21" s="11"/>
      <c r="F21" s="11">
        <v>140</v>
      </c>
      <c r="G21" s="11">
        <v>74</v>
      </c>
      <c r="H21" s="11"/>
      <c r="I21" s="11">
        <v>90</v>
      </c>
      <c r="J21" s="11"/>
      <c r="K21" s="11">
        <v>1</v>
      </c>
      <c r="L21" s="11"/>
      <c r="M21" s="11">
        <v>1</v>
      </c>
      <c r="N21" s="63" t="s">
        <v>747</v>
      </c>
      <c r="O21" s="63" t="s">
        <v>766</v>
      </c>
      <c r="P21" s="4">
        <f t="shared" si="4"/>
        <v>235.18</v>
      </c>
      <c r="Q21" s="4">
        <f t="shared" si="5"/>
        <v>404.38</v>
      </c>
      <c r="R21" s="4"/>
      <c r="S21" s="4"/>
    </row>
    <row r="22" spans="1:19" ht="15" customHeight="1" x14ac:dyDescent="0.15">
      <c r="A22" s="63" t="s">
        <v>772</v>
      </c>
      <c r="B22" s="11">
        <v>245</v>
      </c>
      <c r="C22" s="11">
        <v>119</v>
      </c>
      <c r="D22" s="11">
        <v>89</v>
      </c>
      <c r="E22" s="11">
        <v>89</v>
      </c>
      <c r="F22" s="11">
        <v>150</v>
      </c>
      <c r="G22" s="11"/>
      <c r="H22" s="11">
        <v>71</v>
      </c>
      <c r="I22" s="11"/>
      <c r="J22" s="11"/>
      <c r="K22" s="11">
        <v>1</v>
      </c>
      <c r="L22" s="11">
        <v>1</v>
      </c>
      <c r="M22" s="11"/>
      <c r="N22" s="63" t="s">
        <v>773</v>
      </c>
      <c r="O22" s="63" t="s">
        <v>725</v>
      </c>
      <c r="P22" s="4">
        <f t="shared" si="4"/>
        <v>276.05</v>
      </c>
      <c r="Q22" s="4">
        <f t="shared" si="5"/>
        <v>276.05</v>
      </c>
      <c r="R22" s="4"/>
      <c r="S22" s="4"/>
    </row>
    <row r="23" spans="1:19" ht="15" customHeight="1" x14ac:dyDescent="0.15">
      <c r="A23" s="63" t="s">
        <v>774</v>
      </c>
      <c r="B23" s="11">
        <v>245</v>
      </c>
      <c r="C23" s="11">
        <v>103</v>
      </c>
      <c r="D23" s="11">
        <v>103</v>
      </c>
      <c r="E23" s="11">
        <v>90</v>
      </c>
      <c r="F23" s="11">
        <v>140</v>
      </c>
      <c r="G23" s="11">
        <v>74</v>
      </c>
      <c r="H23" s="11"/>
      <c r="I23" s="11"/>
      <c r="J23" s="11"/>
      <c r="K23" s="11"/>
      <c r="L23" s="11"/>
      <c r="M23" s="11">
        <v>2</v>
      </c>
      <c r="N23" s="63" t="s">
        <v>776</v>
      </c>
      <c r="O23" s="63" t="s">
        <v>777</v>
      </c>
      <c r="P23" s="4">
        <f t="shared" si="4"/>
        <v>288.27999999999997</v>
      </c>
      <c r="Q23" s="4">
        <f t="shared" si="5"/>
        <v>288.27999999999997</v>
      </c>
      <c r="R23" s="4"/>
      <c r="S23" s="4"/>
    </row>
    <row r="24" spans="1:19" ht="15" customHeight="1" x14ac:dyDescent="0.15">
      <c r="A24" s="63" t="s">
        <v>775</v>
      </c>
      <c r="B24" s="11">
        <v>245</v>
      </c>
      <c r="C24" s="11">
        <v>103</v>
      </c>
      <c r="D24" s="11">
        <v>103</v>
      </c>
      <c r="E24" s="11"/>
      <c r="F24" s="11">
        <v>140</v>
      </c>
      <c r="G24" s="11"/>
      <c r="H24" s="11">
        <v>82</v>
      </c>
      <c r="I24" s="11">
        <v>82</v>
      </c>
      <c r="J24" s="11"/>
      <c r="K24" s="11">
        <v>1</v>
      </c>
      <c r="L24" s="11"/>
      <c r="M24" s="11">
        <v>1</v>
      </c>
      <c r="N24" s="63" t="s">
        <v>776</v>
      </c>
      <c r="O24" s="63" t="s">
        <v>777</v>
      </c>
      <c r="P24" s="4">
        <f t="shared" si="4"/>
        <v>224.98</v>
      </c>
      <c r="Q24" s="4">
        <f t="shared" si="5"/>
        <v>379.14</v>
      </c>
      <c r="R24" s="4"/>
      <c r="S24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3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3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3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3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3"/>
      <c r="F37" s="2"/>
      <c r="G37" s="2"/>
      <c r="H37" s="2"/>
      <c r="I37" s="2"/>
      <c r="J37" s="2"/>
      <c r="K37" s="2"/>
      <c r="L37" s="2"/>
      <c r="M37" s="2"/>
      <c r="N37" s="3"/>
      <c r="O37" s="3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3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</row>
    <row r="49" spans="1:15" ht="15" customHeight="1" x14ac:dyDescent="0.15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3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33"/>
  <sheetViews>
    <sheetView workbookViewId="0">
      <selection activeCell="A17" sqref="A17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340</v>
      </c>
      <c r="B2" s="2">
        <v>277</v>
      </c>
      <c r="C2" s="2">
        <v>103</v>
      </c>
      <c r="D2" s="2">
        <v>103</v>
      </c>
      <c r="E2" s="2"/>
      <c r="F2" s="2">
        <v>140</v>
      </c>
      <c r="G2" s="2">
        <v>90</v>
      </c>
      <c r="H2" s="2">
        <v>74</v>
      </c>
      <c r="I2" s="2"/>
      <c r="J2" s="2"/>
      <c r="K2" s="2">
        <v>1</v>
      </c>
      <c r="L2" s="2"/>
      <c r="M2" s="2">
        <v>1</v>
      </c>
      <c r="N2" s="3" t="s">
        <v>30</v>
      </c>
      <c r="O2" s="1" t="s">
        <v>93</v>
      </c>
      <c r="P2" s="4">
        <f t="shared" ref="P2:P9" si="0">D2*0.22+E2*0.59+F2*1+G2*0.98+H2*0.76</f>
        <v>307.10000000000002</v>
      </c>
      <c r="Q2" s="4">
        <f t="shared" ref="Q2:Q9" si="1">P2+I2*1.88</f>
        <v>307.10000000000002</v>
      </c>
      <c r="R2" s="4"/>
      <c r="S2" s="4"/>
    </row>
    <row r="3" spans="1:19" ht="15" customHeight="1" x14ac:dyDescent="0.15">
      <c r="A3" s="1" t="s">
        <v>341</v>
      </c>
      <c r="B3" s="2">
        <v>264</v>
      </c>
      <c r="C3" s="2">
        <v>92</v>
      </c>
      <c r="D3" s="2">
        <v>92</v>
      </c>
      <c r="E3" s="2">
        <v>64</v>
      </c>
      <c r="F3" s="2">
        <v>122</v>
      </c>
      <c r="G3" s="2"/>
      <c r="H3" s="2">
        <v>80</v>
      </c>
      <c r="I3" s="2"/>
      <c r="J3" s="2"/>
      <c r="K3" s="2"/>
      <c r="L3" s="2">
        <v>1</v>
      </c>
      <c r="M3" s="2">
        <v>1</v>
      </c>
      <c r="N3" s="3" t="s">
        <v>149</v>
      </c>
      <c r="O3" s="1" t="s">
        <v>74</v>
      </c>
      <c r="P3" s="4">
        <f t="shared" si="0"/>
        <v>240.8</v>
      </c>
      <c r="Q3" s="4">
        <f t="shared" si="1"/>
        <v>240.8</v>
      </c>
      <c r="R3" s="4"/>
      <c r="S3" s="4"/>
    </row>
    <row r="4" spans="1:19" ht="15" customHeight="1" x14ac:dyDescent="0.15">
      <c r="A4" s="1" t="s">
        <v>342</v>
      </c>
      <c r="B4" s="2">
        <v>264</v>
      </c>
      <c r="C4" s="2">
        <v>92</v>
      </c>
      <c r="D4" s="2">
        <v>92</v>
      </c>
      <c r="E4" s="2"/>
      <c r="F4" s="2">
        <v>122</v>
      </c>
      <c r="G4" s="2"/>
      <c r="H4" s="2">
        <v>86</v>
      </c>
      <c r="I4" s="2">
        <v>54</v>
      </c>
      <c r="J4" s="2"/>
      <c r="K4" s="2"/>
      <c r="L4" s="2">
        <v>1</v>
      </c>
      <c r="M4" s="2">
        <v>1</v>
      </c>
      <c r="N4" s="3" t="s">
        <v>30</v>
      </c>
      <c r="O4" s="1" t="s">
        <v>27</v>
      </c>
      <c r="P4" s="4">
        <f t="shared" si="0"/>
        <v>207.60000000000002</v>
      </c>
      <c r="Q4" s="4">
        <f t="shared" si="1"/>
        <v>309.12</v>
      </c>
      <c r="R4" s="4"/>
      <c r="S4" s="4"/>
    </row>
    <row r="5" spans="1:19" ht="15" customHeight="1" x14ac:dyDescent="0.15">
      <c r="A5" s="1" t="s">
        <v>175</v>
      </c>
      <c r="B5" s="2">
        <v>264</v>
      </c>
      <c r="C5" s="2">
        <v>92</v>
      </c>
      <c r="D5" s="2">
        <v>92</v>
      </c>
      <c r="E5" s="2"/>
      <c r="F5" s="2">
        <v>122</v>
      </c>
      <c r="G5" s="2">
        <v>80</v>
      </c>
      <c r="H5" s="2">
        <v>64</v>
      </c>
      <c r="I5" s="2"/>
      <c r="J5" s="2"/>
      <c r="K5" s="2">
        <v>1</v>
      </c>
      <c r="L5" s="2"/>
      <c r="M5" s="2">
        <v>1</v>
      </c>
      <c r="N5" s="3" t="s">
        <v>30</v>
      </c>
      <c r="O5" s="1" t="s">
        <v>100</v>
      </c>
      <c r="P5" s="4">
        <f t="shared" si="0"/>
        <v>269.28000000000003</v>
      </c>
      <c r="Q5" s="4">
        <f t="shared" si="1"/>
        <v>269.28000000000003</v>
      </c>
      <c r="R5" s="4"/>
      <c r="S5" s="4"/>
    </row>
    <row r="6" spans="1:19" ht="15" customHeight="1" x14ac:dyDescent="0.15">
      <c r="A6" s="1" t="s">
        <v>178</v>
      </c>
      <c r="B6" s="2">
        <v>264</v>
      </c>
      <c r="C6" s="2">
        <v>92</v>
      </c>
      <c r="D6" s="2">
        <v>92</v>
      </c>
      <c r="E6" s="2"/>
      <c r="F6" s="2">
        <v>122</v>
      </c>
      <c r="G6" s="2"/>
      <c r="H6" s="2">
        <v>80</v>
      </c>
      <c r="I6" s="2">
        <v>64</v>
      </c>
      <c r="J6" s="2"/>
      <c r="K6" s="2">
        <v>1</v>
      </c>
      <c r="L6" s="2"/>
      <c r="M6" s="2">
        <v>1</v>
      </c>
      <c r="N6" s="3" t="s">
        <v>128</v>
      </c>
      <c r="O6" s="1" t="s">
        <v>171</v>
      </c>
      <c r="P6" s="4">
        <f t="shared" si="0"/>
        <v>203.04000000000002</v>
      </c>
      <c r="Q6" s="4">
        <f t="shared" si="1"/>
        <v>323.36</v>
      </c>
      <c r="R6" s="4"/>
      <c r="S6" s="4"/>
    </row>
    <row r="7" spans="1:19" ht="15" customHeight="1" x14ac:dyDescent="0.15">
      <c r="A7" s="1" t="s">
        <v>179</v>
      </c>
      <c r="B7" s="2">
        <v>264</v>
      </c>
      <c r="C7" s="2">
        <v>92</v>
      </c>
      <c r="D7" s="2">
        <v>92</v>
      </c>
      <c r="E7" s="2">
        <v>80</v>
      </c>
      <c r="F7" s="2">
        <v>122</v>
      </c>
      <c r="G7" s="2"/>
      <c r="H7" s="2">
        <v>64</v>
      </c>
      <c r="I7" s="2"/>
      <c r="J7" s="2"/>
      <c r="K7" s="2"/>
      <c r="L7" s="2">
        <v>2</v>
      </c>
      <c r="M7" s="2"/>
      <c r="N7" s="3" t="s">
        <v>128</v>
      </c>
      <c r="O7" s="1" t="s">
        <v>171</v>
      </c>
      <c r="P7" s="4">
        <f t="shared" si="0"/>
        <v>238.07999999999998</v>
      </c>
      <c r="Q7" s="4">
        <f t="shared" si="1"/>
        <v>238.07999999999998</v>
      </c>
      <c r="R7" s="4"/>
      <c r="S7" s="4"/>
    </row>
    <row r="8" spans="1:19" ht="15" customHeight="1" x14ac:dyDescent="0.15">
      <c r="A8" s="1" t="s">
        <v>176</v>
      </c>
      <c r="B8" s="2">
        <v>251</v>
      </c>
      <c r="C8" s="2">
        <v>81</v>
      </c>
      <c r="D8" s="2">
        <v>81</v>
      </c>
      <c r="E8" s="2">
        <v>55</v>
      </c>
      <c r="F8" s="2">
        <v>106</v>
      </c>
      <c r="G8" s="2"/>
      <c r="H8" s="2">
        <v>71</v>
      </c>
      <c r="I8" s="2"/>
      <c r="J8" s="2"/>
      <c r="K8" s="2"/>
      <c r="L8" s="2">
        <v>1</v>
      </c>
      <c r="M8" s="2">
        <v>1</v>
      </c>
      <c r="N8" s="3" t="s">
        <v>149</v>
      </c>
      <c r="O8" s="1" t="s">
        <v>77</v>
      </c>
      <c r="P8" s="4">
        <f t="shared" si="0"/>
        <v>210.23</v>
      </c>
      <c r="Q8" s="4">
        <f t="shared" si="1"/>
        <v>210.23</v>
      </c>
      <c r="R8" s="4"/>
      <c r="S8" s="4"/>
    </row>
    <row r="9" spans="1:19" ht="15" customHeight="1" x14ac:dyDescent="0.15">
      <c r="A9" s="1" t="s">
        <v>177</v>
      </c>
      <c r="B9" s="2">
        <v>251</v>
      </c>
      <c r="C9" s="2">
        <v>81</v>
      </c>
      <c r="D9" s="2">
        <v>81</v>
      </c>
      <c r="E9" s="2"/>
      <c r="F9" s="2">
        <v>106</v>
      </c>
      <c r="G9" s="2"/>
      <c r="H9" s="2">
        <v>76</v>
      </c>
      <c r="I9" s="2">
        <v>46</v>
      </c>
      <c r="J9" s="2"/>
      <c r="K9" s="2"/>
      <c r="L9" s="2">
        <v>1</v>
      </c>
      <c r="M9" s="2">
        <v>1</v>
      </c>
      <c r="N9" s="3" t="s">
        <v>30</v>
      </c>
      <c r="O9" s="1" t="s">
        <v>36</v>
      </c>
      <c r="P9" s="4">
        <f t="shared" si="0"/>
        <v>181.57999999999998</v>
      </c>
      <c r="Q9" s="4">
        <f t="shared" si="1"/>
        <v>268.05999999999995</v>
      </c>
      <c r="R9" s="4"/>
      <c r="S9" s="4"/>
    </row>
    <row r="10" spans="1:19" ht="15" customHeight="1" x14ac:dyDescent="0.15">
      <c r="A10" s="62" t="s">
        <v>580</v>
      </c>
      <c r="B10" s="11">
        <v>258</v>
      </c>
      <c r="C10" s="11">
        <v>86</v>
      </c>
      <c r="D10" s="11">
        <v>86</v>
      </c>
      <c r="E10" s="11">
        <v>76</v>
      </c>
      <c r="F10" s="11">
        <v>124</v>
      </c>
      <c r="G10" s="11">
        <v>68</v>
      </c>
      <c r="H10" s="11"/>
      <c r="I10" s="11"/>
      <c r="J10" s="11"/>
      <c r="K10" s="11">
        <v>1</v>
      </c>
      <c r="L10" s="11"/>
      <c r="M10" s="11">
        <v>1</v>
      </c>
      <c r="N10" s="63" t="s">
        <v>581</v>
      </c>
      <c r="O10" s="62" t="s">
        <v>582</v>
      </c>
      <c r="P10" s="64">
        <f t="shared" ref="P10:P16" si="2">D10*0.22+E10*0.59+F10*1+G10*0.98+H10*0.76</f>
        <v>254.39999999999998</v>
      </c>
      <c r="Q10" s="64">
        <f t="shared" ref="Q10:Q16" si="3">P10+I10*1.88</f>
        <v>254.39999999999998</v>
      </c>
      <c r="R10" s="4"/>
      <c r="S10" s="4"/>
    </row>
    <row r="11" spans="1:19" ht="15" customHeight="1" x14ac:dyDescent="0.15">
      <c r="A11" s="62" t="s">
        <v>749</v>
      </c>
      <c r="B11" s="11">
        <v>258</v>
      </c>
      <c r="C11" s="11">
        <v>86</v>
      </c>
      <c r="D11" s="11">
        <v>86</v>
      </c>
      <c r="E11" s="11"/>
      <c r="F11" s="11">
        <v>114</v>
      </c>
      <c r="G11" s="11">
        <v>76</v>
      </c>
      <c r="H11" s="11"/>
      <c r="I11" s="11">
        <v>60</v>
      </c>
      <c r="J11" s="11"/>
      <c r="K11" s="11">
        <v>1</v>
      </c>
      <c r="L11" s="11"/>
      <c r="M11" s="11">
        <v>1</v>
      </c>
      <c r="N11" s="63" t="s">
        <v>747</v>
      </c>
      <c r="O11" s="62" t="s">
        <v>748</v>
      </c>
      <c r="P11" s="64">
        <f t="shared" si="2"/>
        <v>207.40000000000003</v>
      </c>
      <c r="Q11" s="64">
        <f t="shared" si="3"/>
        <v>320.20000000000005</v>
      </c>
      <c r="R11" s="4"/>
      <c r="S11" s="4"/>
    </row>
    <row r="12" spans="1:19" ht="15" customHeight="1" x14ac:dyDescent="0.15">
      <c r="A12" s="62" t="s">
        <v>750</v>
      </c>
      <c r="B12" s="11">
        <v>264</v>
      </c>
      <c r="C12" s="11">
        <v>137</v>
      </c>
      <c r="D12" s="11">
        <v>61</v>
      </c>
      <c r="E12" s="11"/>
      <c r="F12" s="11">
        <v>132</v>
      </c>
      <c r="G12" s="11">
        <v>72</v>
      </c>
      <c r="H12" s="11"/>
      <c r="I12" s="11"/>
      <c r="J12" s="11"/>
      <c r="K12" s="11"/>
      <c r="L12" s="11">
        <v>1</v>
      </c>
      <c r="M12" s="11"/>
      <c r="N12" s="63" t="s">
        <v>751</v>
      </c>
      <c r="O12" s="62" t="s">
        <v>752</v>
      </c>
      <c r="P12" s="64">
        <f t="shared" si="2"/>
        <v>215.98</v>
      </c>
      <c r="Q12" s="64">
        <f t="shared" si="3"/>
        <v>215.98</v>
      </c>
      <c r="R12" s="4"/>
      <c r="S12" s="4"/>
    </row>
    <row r="13" spans="1:19" ht="15" customHeight="1" x14ac:dyDescent="0.15">
      <c r="A13" s="62" t="s">
        <v>753</v>
      </c>
      <c r="B13" s="11">
        <v>245</v>
      </c>
      <c r="C13" s="11">
        <v>72</v>
      </c>
      <c r="D13" s="11">
        <v>70</v>
      </c>
      <c r="E13" s="11"/>
      <c r="F13" s="11">
        <v>104</v>
      </c>
      <c r="G13" s="11"/>
      <c r="H13" s="11">
        <v>72</v>
      </c>
      <c r="I13" s="11">
        <v>47</v>
      </c>
      <c r="J13" s="11"/>
      <c r="K13" s="11">
        <v>1</v>
      </c>
      <c r="L13" s="11">
        <v>1</v>
      </c>
      <c r="M13" s="11"/>
      <c r="N13" s="63" t="s">
        <v>754</v>
      </c>
      <c r="O13" s="62" t="s">
        <v>725</v>
      </c>
      <c r="P13" s="64">
        <f t="shared" si="2"/>
        <v>174.12</v>
      </c>
      <c r="Q13" s="64">
        <f t="shared" si="3"/>
        <v>262.48</v>
      </c>
      <c r="R13" s="4"/>
      <c r="S13" s="4"/>
    </row>
    <row r="14" spans="1:19" ht="15" customHeight="1" x14ac:dyDescent="0.15">
      <c r="A14" s="62" t="s">
        <v>755</v>
      </c>
      <c r="B14" s="11">
        <v>245</v>
      </c>
      <c r="C14" s="11">
        <v>77</v>
      </c>
      <c r="D14" s="11">
        <v>77</v>
      </c>
      <c r="E14" s="11">
        <v>51</v>
      </c>
      <c r="F14" s="11">
        <v>109</v>
      </c>
      <c r="G14" s="11"/>
      <c r="H14" s="11">
        <v>72</v>
      </c>
      <c r="I14" s="11"/>
      <c r="J14" s="11"/>
      <c r="K14" s="11"/>
      <c r="L14" s="11">
        <v>1</v>
      </c>
      <c r="M14" s="11"/>
      <c r="N14" s="63" t="s">
        <v>756</v>
      </c>
      <c r="O14" s="62" t="s">
        <v>757</v>
      </c>
      <c r="P14" s="64">
        <f t="shared" si="2"/>
        <v>210.75</v>
      </c>
      <c r="Q14" s="64">
        <f t="shared" si="3"/>
        <v>210.75</v>
      </c>
      <c r="R14" s="4"/>
      <c r="S14" s="4"/>
    </row>
    <row r="15" spans="1:19" ht="15" customHeight="1" x14ac:dyDescent="0.15">
      <c r="A15" s="62" t="s">
        <v>758</v>
      </c>
      <c r="B15" s="11">
        <v>245</v>
      </c>
      <c r="C15" s="11">
        <v>77</v>
      </c>
      <c r="D15" s="11">
        <v>77</v>
      </c>
      <c r="E15" s="11">
        <v>67</v>
      </c>
      <c r="F15" s="11">
        <v>109</v>
      </c>
      <c r="G15" s="11">
        <v>59</v>
      </c>
      <c r="H15" s="11"/>
      <c r="I15" s="11"/>
      <c r="J15" s="11"/>
      <c r="K15" s="11"/>
      <c r="L15" s="11"/>
      <c r="M15" s="11">
        <v>1</v>
      </c>
      <c r="N15" s="63" t="s">
        <v>760</v>
      </c>
      <c r="O15" s="62" t="s">
        <v>761</v>
      </c>
      <c r="P15" s="64">
        <f t="shared" si="2"/>
        <v>223.29</v>
      </c>
      <c r="Q15" s="64">
        <f t="shared" si="3"/>
        <v>223.29</v>
      </c>
      <c r="R15" s="4"/>
      <c r="S15" s="4"/>
    </row>
    <row r="16" spans="1:19" ht="15" customHeight="1" x14ac:dyDescent="0.15">
      <c r="A16" s="62" t="s">
        <v>759</v>
      </c>
      <c r="B16" s="11">
        <v>245</v>
      </c>
      <c r="C16" s="11">
        <v>77</v>
      </c>
      <c r="D16" s="11">
        <v>77</v>
      </c>
      <c r="E16" s="11"/>
      <c r="F16" s="11">
        <v>109</v>
      </c>
      <c r="G16" s="11">
        <v>67</v>
      </c>
      <c r="H16" s="11"/>
      <c r="I16" s="11">
        <v>59</v>
      </c>
      <c r="J16" s="11"/>
      <c r="K16" s="11"/>
      <c r="L16" s="11"/>
      <c r="M16" s="11">
        <v>1</v>
      </c>
      <c r="N16" s="63" t="s">
        <v>734</v>
      </c>
      <c r="O16" s="62" t="s">
        <v>722</v>
      </c>
      <c r="P16" s="64">
        <f t="shared" si="2"/>
        <v>191.6</v>
      </c>
      <c r="Q16" s="64">
        <f t="shared" si="3"/>
        <v>302.52</v>
      </c>
      <c r="R16" s="4"/>
      <c r="S16" s="4"/>
    </row>
    <row r="17" spans="1:19" ht="15" customHeight="1" x14ac:dyDescent="0.1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1"/>
      <c r="P17" s="4"/>
      <c r="Q17" s="4"/>
      <c r="R17" s="4"/>
      <c r="S17" s="4"/>
    </row>
    <row r="18" spans="1:19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5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S54"/>
  <sheetViews>
    <sheetView workbookViewId="0">
      <selection activeCell="L20" sqref="L20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  <c r="R1" s="6" t="s">
        <v>569</v>
      </c>
    </row>
    <row r="2" spans="1:19" ht="15" customHeight="1" x14ac:dyDescent="0.15">
      <c r="A2" s="1" t="s">
        <v>343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65</v>
      </c>
      <c r="H2" s="2"/>
      <c r="I2" s="2"/>
      <c r="J2" s="2">
        <v>36</v>
      </c>
      <c r="K2" s="2">
        <v>1</v>
      </c>
      <c r="L2" s="2"/>
      <c r="M2" s="2"/>
      <c r="N2" s="3" t="s">
        <v>38</v>
      </c>
      <c r="O2" s="1" t="s">
        <v>111</v>
      </c>
      <c r="P2" s="4">
        <f t="shared" ref="P2:P27" si="0">D2*0.22+E2*0.59+F2*1+G2*0.98+H2*0.76</f>
        <v>199.95999999999998</v>
      </c>
      <c r="Q2" s="4">
        <f t="shared" ref="Q2:Q27" si="1">P2+I2*1.88</f>
        <v>199.95999999999998</v>
      </c>
      <c r="R2" s="4"/>
      <c r="S2" s="4"/>
    </row>
    <row r="3" spans="1:19" ht="15" customHeight="1" x14ac:dyDescent="0.15">
      <c r="A3" s="1" t="s">
        <v>344</v>
      </c>
      <c r="B3" s="2">
        <v>277</v>
      </c>
      <c r="C3" s="2">
        <v>78</v>
      </c>
      <c r="D3" s="2">
        <v>78</v>
      </c>
      <c r="E3" s="2">
        <v>68</v>
      </c>
      <c r="F3" s="2">
        <v>110</v>
      </c>
      <c r="G3" s="2">
        <v>60</v>
      </c>
      <c r="H3" s="2"/>
      <c r="I3" s="2"/>
      <c r="J3" s="2"/>
      <c r="K3" s="2"/>
      <c r="L3" s="2">
        <v>1</v>
      </c>
      <c r="M3" s="2"/>
      <c r="N3" s="3" t="s">
        <v>38</v>
      </c>
      <c r="O3" s="1" t="s">
        <v>59</v>
      </c>
      <c r="P3" s="4">
        <f t="shared" si="0"/>
        <v>226.07999999999998</v>
      </c>
      <c r="Q3" s="4">
        <f t="shared" si="1"/>
        <v>226.07999999999998</v>
      </c>
      <c r="R3" s="4"/>
      <c r="S3" s="4"/>
    </row>
    <row r="4" spans="1:19" ht="15" customHeight="1" x14ac:dyDescent="0.15">
      <c r="A4" s="1" t="s">
        <v>345</v>
      </c>
      <c r="B4" s="2">
        <v>277</v>
      </c>
      <c r="C4" s="2">
        <v>78</v>
      </c>
      <c r="D4" s="2">
        <v>78</v>
      </c>
      <c r="E4" s="2"/>
      <c r="F4" s="2">
        <v>110</v>
      </c>
      <c r="G4" s="2">
        <v>78</v>
      </c>
      <c r="H4" s="2"/>
      <c r="I4" s="2">
        <v>44</v>
      </c>
      <c r="J4" s="2"/>
      <c r="K4" s="2"/>
      <c r="L4" s="2"/>
      <c r="M4" s="2">
        <v>1</v>
      </c>
      <c r="N4" s="3" t="s">
        <v>38</v>
      </c>
      <c r="O4" s="1" t="s">
        <v>61</v>
      </c>
      <c r="P4" s="4">
        <f t="shared" si="0"/>
        <v>203.6</v>
      </c>
      <c r="Q4" s="4">
        <f t="shared" si="1"/>
        <v>286.32</v>
      </c>
      <c r="R4" s="4"/>
      <c r="S4" s="4"/>
    </row>
    <row r="5" spans="1:19" ht="15" customHeight="1" x14ac:dyDescent="0.15">
      <c r="A5" s="1" t="s">
        <v>346</v>
      </c>
      <c r="B5" s="2">
        <v>277</v>
      </c>
      <c r="C5" s="2">
        <v>78</v>
      </c>
      <c r="D5" s="2">
        <v>78</v>
      </c>
      <c r="E5" s="2"/>
      <c r="F5" s="2">
        <v>110</v>
      </c>
      <c r="G5" s="2"/>
      <c r="H5" s="2">
        <v>60</v>
      </c>
      <c r="I5" s="2"/>
      <c r="J5" s="2">
        <v>34</v>
      </c>
      <c r="K5" s="2"/>
      <c r="L5" s="2"/>
      <c r="M5" s="2">
        <v>1</v>
      </c>
      <c r="N5" s="3" t="s">
        <v>38</v>
      </c>
      <c r="O5" s="1" t="s">
        <v>61</v>
      </c>
      <c r="P5" s="4">
        <f t="shared" si="0"/>
        <v>172.76</v>
      </c>
      <c r="Q5" s="4">
        <f t="shared" si="1"/>
        <v>172.76</v>
      </c>
      <c r="R5" s="4"/>
      <c r="S5" s="4"/>
    </row>
    <row r="6" spans="1:19" ht="15" customHeight="1" x14ac:dyDescent="0.15">
      <c r="A6" s="1" t="s">
        <v>347</v>
      </c>
      <c r="B6" s="2">
        <v>277</v>
      </c>
      <c r="C6" s="2">
        <v>78</v>
      </c>
      <c r="D6" s="2">
        <v>78</v>
      </c>
      <c r="E6" s="2"/>
      <c r="F6" s="2">
        <v>110</v>
      </c>
      <c r="G6" s="2">
        <v>60</v>
      </c>
      <c r="H6" s="2">
        <v>68</v>
      </c>
      <c r="I6" s="2"/>
      <c r="J6" s="2"/>
      <c r="K6" s="2"/>
      <c r="L6" s="2"/>
      <c r="M6" s="2">
        <v>1</v>
      </c>
      <c r="N6" s="3" t="s">
        <v>38</v>
      </c>
      <c r="O6" s="1" t="s">
        <v>83</v>
      </c>
      <c r="P6" s="4">
        <f t="shared" si="0"/>
        <v>237.64</v>
      </c>
      <c r="Q6" s="4">
        <f t="shared" si="1"/>
        <v>237.64</v>
      </c>
      <c r="R6" s="4"/>
      <c r="S6" s="4"/>
    </row>
    <row r="7" spans="1:19" ht="15" customHeight="1" x14ac:dyDescent="0.15">
      <c r="A7" s="1" t="s">
        <v>348</v>
      </c>
      <c r="B7" s="2">
        <v>277</v>
      </c>
      <c r="C7" s="2">
        <v>78</v>
      </c>
      <c r="D7" s="2">
        <v>78</v>
      </c>
      <c r="E7" s="2">
        <v>68</v>
      </c>
      <c r="F7" s="2">
        <v>110</v>
      </c>
      <c r="G7" s="2"/>
      <c r="H7" s="2">
        <v>60</v>
      </c>
      <c r="I7" s="2"/>
      <c r="J7" s="2"/>
      <c r="K7" s="2"/>
      <c r="L7" s="2">
        <v>1</v>
      </c>
      <c r="M7" s="2"/>
      <c r="N7" s="3" t="s">
        <v>38</v>
      </c>
      <c r="O7" s="1" t="s">
        <v>22</v>
      </c>
      <c r="P7" s="4">
        <f t="shared" si="0"/>
        <v>212.88</v>
      </c>
      <c r="Q7" s="4">
        <f t="shared" si="1"/>
        <v>212.88</v>
      </c>
      <c r="R7" s="4"/>
      <c r="S7" s="4"/>
    </row>
    <row r="8" spans="1:19" ht="15" customHeight="1" x14ac:dyDescent="0.15">
      <c r="A8" s="1" t="s">
        <v>349</v>
      </c>
      <c r="B8" s="2">
        <v>277</v>
      </c>
      <c r="C8" s="2">
        <v>78</v>
      </c>
      <c r="D8" s="2">
        <v>78</v>
      </c>
      <c r="E8" s="2"/>
      <c r="F8" s="2">
        <v>110</v>
      </c>
      <c r="G8" s="2">
        <v>68</v>
      </c>
      <c r="H8" s="2"/>
      <c r="I8" s="2"/>
      <c r="J8" s="2">
        <v>30</v>
      </c>
      <c r="K8" s="2"/>
      <c r="L8" s="2">
        <v>1</v>
      </c>
      <c r="M8" s="2"/>
      <c r="N8" s="3" t="s">
        <v>38</v>
      </c>
      <c r="O8" s="1" t="s">
        <v>41</v>
      </c>
      <c r="P8" s="4">
        <f t="shared" si="0"/>
        <v>193.8</v>
      </c>
      <c r="Q8" s="4">
        <f t="shared" si="1"/>
        <v>193.8</v>
      </c>
      <c r="R8" s="4"/>
      <c r="S8" s="4"/>
    </row>
    <row r="9" spans="1:19" ht="15" customHeight="1" x14ac:dyDescent="0.15">
      <c r="A9" s="1" t="s">
        <v>350</v>
      </c>
      <c r="B9" s="2">
        <v>277</v>
      </c>
      <c r="C9" s="2">
        <v>78</v>
      </c>
      <c r="D9" s="2">
        <v>78</v>
      </c>
      <c r="E9" s="2"/>
      <c r="F9" s="2">
        <v>110</v>
      </c>
      <c r="G9" s="2"/>
      <c r="H9" s="2">
        <v>73</v>
      </c>
      <c r="I9" s="2">
        <v>52</v>
      </c>
      <c r="J9" s="2"/>
      <c r="K9" s="2"/>
      <c r="L9" s="2"/>
      <c r="M9" s="2">
        <v>1</v>
      </c>
      <c r="N9" s="3" t="s">
        <v>38</v>
      </c>
      <c r="O9" s="1" t="s">
        <v>41</v>
      </c>
      <c r="P9" s="4">
        <f t="shared" si="0"/>
        <v>182.64</v>
      </c>
      <c r="Q9" s="4">
        <f t="shared" si="1"/>
        <v>280.39999999999998</v>
      </c>
      <c r="R9" s="4"/>
      <c r="S9" s="4"/>
    </row>
    <row r="10" spans="1:19" ht="15" customHeight="1" x14ac:dyDescent="0.15">
      <c r="A10" s="1" t="s">
        <v>181</v>
      </c>
      <c r="B10" s="2">
        <v>277</v>
      </c>
      <c r="C10" s="2">
        <v>73</v>
      </c>
      <c r="D10" s="2">
        <v>73</v>
      </c>
      <c r="E10" s="2"/>
      <c r="F10" s="2">
        <v>101</v>
      </c>
      <c r="G10" s="2">
        <v>64</v>
      </c>
      <c r="H10" s="2"/>
      <c r="I10" s="2">
        <v>51</v>
      </c>
      <c r="J10" s="2"/>
      <c r="K10" s="2"/>
      <c r="L10" s="2">
        <v>1</v>
      </c>
      <c r="M10" s="2"/>
      <c r="N10" s="3" t="s">
        <v>103</v>
      </c>
      <c r="O10" s="1" t="s">
        <v>182</v>
      </c>
      <c r="P10" s="4">
        <f t="shared" si="0"/>
        <v>179.78</v>
      </c>
      <c r="Q10" s="4">
        <f t="shared" si="1"/>
        <v>275.65999999999997</v>
      </c>
      <c r="R10" s="4" t="s">
        <v>570</v>
      </c>
      <c r="S10" s="4"/>
    </row>
    <row r="11" spans="1:19" ht="15" customHeight="1" x14ac:dyDescent="0.15">
      <c r="A11" s="1" t="s">
        <v>183</v>
      </c>
      <c r="B11" s="2">
        <v>277</v>
      </c>
      <c r="C11" s="2">
        <v>73</v>
      </c>
      <c r="D11" s="2">
        <v>73</v>
      </c>
      <c r="E11" s="2"/>
      <c r="F11" s="2">
        <v>101</v>
      </c>
      <c r="G11" s="2">
        <v>59</v>
      </c>
      <c r="H11" s="2"/>
      <c r="I11" s="2"/>
      <c r="J11" s="2">
        <v>30</v>
      </c>
      <c r="K11" s="2"/>
      <c r="L11" s="2">
        <v>1</v>
      </c>
      <c r="M11" s="2"/>
      <c r="N11" s="3" t="s">
        <v>121</v>
      </c>
      <c r="O11" s="1" t="s">
        <v>182</v>
      </c>
      <c r="P11" s="4">
        <f t="shared" si="0"/>
        <v>174.88</v>
      </c>
      <c r="Q11" s="4">
        <f t="shared" si="1"/>
        <v>174.88</v>
      </c>
      <c r="R11" s="4" t="s">
        <v>570</v>
      </c>
      <c r="S11" s="4"/>
    </row>
    <row r="12" spans="1:19" ht="15" customHeight="1" x14ac:dyDescent="0.15">
      <c r="A12" s="1" t="s">
        <v>351</v>
      </c>
      <c r="B12" s="2">
        <v>271</v>
      </c>
      <c r="C12" s="2">
        <v>73</v>
      </c>
      <c r="D12" s="2">
        <v>73</v>
      </c>
      <c r="E12" s="2"/>
      <c r="F12" s="2">
        <v>104</v>
      </c>
      <c r="G12" s="2"/>
      <c r="H12" s="2">
        <v>64</v>
      </c>
      <c r="I12" s="2">
        <v>56</v>
      </c>
      <c r="J12" s="2"/>
      <c r="K12" s="2">
        <v>1</v>
      </c>
      <c r="L12" s="2"/>
      <c r="M12" s="2"/>
      <c r="N12" s="3" t="s">
        <v>38</v>
      </c>
      <c r="O12" s="1" t="s">
        <v>116</v>
      </c>
      <c r="P12" s="4">
        <f t="shared" si="0"/>
        <v>168.7</v>
      </c>
      <c r="Q12" s="4">
        <f t="shared" si="1"/>
        <v>273.98</v>
      </c>
      <c r="R12" s="4"/>
      <c r="S12" s="4"/>
    </row>
    <row r="13" spans="1:19" ht="15" customHeight="1" x14ac:dyDescent="0.15">
      <c r="A13" s="1" t="s">
        <v>180</v>
      </c>
      <c r="B13" s="2">
        <v>271</v>
      </c>
      <c r="C13" s="2">
        <v>73</v>
      </c>
      <c r="D13" s="2">
        <v>73</v>
      </c>
      <c r="E13" s="2"/>
      <c r="F13" s="2">
        <v>104</v>
      </c>
      <c r="G13" s="2">
        <v>56</v>
      </c>
      <c r="H13" s="2"/>
      <c r="I13" s="2"/>
      <c r="J13" s="2">
        <v>32</v>
      </c>
      <c r="K13" s="2">
        <v>1</v>
      </c>
      <c r="L13" s="2"/>
      <c r="M13" s="2"/>
      <c r="N13" s="3" t="s">
        <v>38</v>
      </c>
      <c r="O13" s="1" t="s">
        <v>117</v>
      </c>
      <c r="P13" s="4">
        <f t="shared" si="0"/>
        <v>174.94</v>
      </c>
      <c r="Q13" s="4">
        <f t="shared" si="1"/>
        <v>174.94</v>
      </c>
      <c r="R13" s="4"/>
      <c r="S13" s="4"/>
    </row>
    <row r="14" spans="1:19" ht="15" customHeight="1" x14ac:dyDescent="0.15">
      <c r="A14" s="1" t="s">
        <v>184</v>
      </c>
      <c r="B14" s="2">
        <v>268</v>
      </c>
      <c r="C14" s="2">
        <v>66</v>
      </c>
      <c r="D14" s="2">
        <v>66</v>
      </c>
      <c r="E14" s="2"/>
      <c r="F14" s="2">
        <v>101</v>
      </c>
      <c r="G14" s="2">
        <v>62</v>
      </c>
      <c r="H14" s="2"/>
      <c r="I14" s="2">
        <v>50</v>
      </c>
      <c r="J14" s="2"/>
      <c r="K14" s="2"/>
      <c r="L14" s="2"/>
      <c r="M14" s="2"/>
      <c r="N14" s="3"/>
      <c r="O14" s="1" t="s">
        <v>185</v>
      </c>
      <c r="P14" s="4">
        <f t="shared" si="0"/>
        <v>176.28</v>
      </c>
      <c r="Q14" s="4">
        <f t="shared" si="1"/>
        <v>270.27999999999997</v>
      </c>
      <c r="R14" s="4" t="s">
        <v>570</v>
      </c>
      <c r="S14" s="4"/>
    </row>
    <row r="15" spans="1:19" ht="15" customHeight="1" x14ac:dyDescent="0.15">
      <c r="A15" s="1" t="s">
        <v>186</v>
      </c>
      <c r="B15" s="2">
        <v>268</v>
      </c>
      <c r="C15" s="2">
        <v>66</v>
      </c>
      <c r="D15" s="2">
        <v>66</v>
      </c>
      <c r="E15" s="2"/>
      <c r="F15" s="2">
        <v>101</v>
      </c>
      <c r="G15" s="2">
        <v>57</v>
      </c>
      <c r="H15" s="2"/>
      <c r="I15" s="2"/>
      <c r="J15" s="2">
        <v>29</v>
      </c>
      <c r="K15" s="2"/>
      <c r="L15" s="2"/>
      <c r="M15" s="2"/>
      <c r="N15" s="3"/>
      <c r="O15" s="1" t="s">
        <v>185</v>
      </c>
      <c r="P15" s="4">
        <f t="shared" si="0"/>
        <v>171.38</v>
      </c>
      <c r="Q15" s="4">
        <f t="shared" si="1"/>
        <v>171.38</v>
      </c>
      <c r="R15" s="4" t="s">
        <v>570</v>
      </c>
      <c r="S15" s="4"/>
    </row>
    <row r="16" spans="1:19" ht="15" customHeight="1" x14ac:dyDescent="0.15">
      <c r="A16" s="1" t="s">
        <v>352</v>
      </c>
      <c r="B16" s="2">
        <v>264</v>
      </c>
      <c r="C16" s="2">
        <v>65</v>
      </c>
      <c r="D16" s="2">
        <v>70</v>
      </c>
      <c r="E16" s="2"/>
      <c r="F16" s="2">
        <v>97</v>
      </c>
      <c r="G16" s="2">
        <v>41</v>
      </c>
      <c r="H16" s="2">
        <v>67</v>
      </c>
      <c r="I16" s="2"/>
      <c r="J16" s="2"/>
      <c r="K16" s="2">
        <v>1</v>
      </c>
      <c r="L16" s="2"/>
      <c r="M16" s="2"/>
      <c r="N16" s="3" t="s">
        <v>38</v>
      </c>
      <c r="O16" s="1" t="s">
        <v>74</v>
      </c>
      <c r="P16" s="4">
        <f t="shared" si="0"/>
        <v>203.5</v>
      </c>
      <c r="Q16" s="4">
        <f t="shared" si="1"/>
        <v>203.5</v>
      </c>
      <c r="R16" s="4"/>
      <c r="S16" s="4"/>
    </row>
    <row r="17" spans="1:19" ht="15" customHeight="1" x14ac:dyDescent="0.15">
      <c r="A17" s="1" t="s">
        <v>353</v>
      </c>
      <c r="B17" s="2">
        <v>264</v>
      </c>
      <c r="C17" s="2">
        <v>69</v>
      </c>
      <c r="D17" s="2">
        <v>69</v>
      </c>
      <c r="E17" s="2"/>
      <c r="F17" s="2">
        <v>97</v>
      </c>
      <c r="G17" s="2">
        <v>52</v>
      </c>
      <c r="H17" s="2"/>
      <c r="I17" s="2"/>
      <c r="J17" s="2">
        <v>30</v>
      </c>
      <c r="K17" s="2">
        <v>1</v>
      </c>
      <c r="L17" s="2"/>
      <c r="M17" s="2"/>
      <c r="N17" s="3" t="s">
        <v>38</v>
      </c>
      <c r="O17" s="1" t="s">
        <v>25</v>
      </c>
      <c r="P17" s="4">
        <f t="shared" si="0"/>
        <v>163.14000000000001</v>
      </c>
      <c r="Q17" s="4">
        <f t="shared" si="1"/>
        <v>163.14000000000001</v>
      </c>
      <c r="R17" s="4"/>
      <c r="S17" s="4"/>
    </row>
    <row r="18" spans="1:19" ht="15" customHeight="1" x14ac:dyDescent="0.15">
      <c r="A18" s="1" t="s">
        <v>187</v>
      </c>
      <c r="B18" s="2">
        <v>264</v>
      </c>
      <c r="C18" s="2">
        <v>69</v>
      </c>
      <c r="D18" s="2">
        <v>69</v>
      </c>
      <c r="E18" s="2">
        <v>60</v>
      </c>
      <c r="F18" s="2">
        <v>97</v>
      </c>
      <c r="G18" s="2">
        <v>52</v>
      </c>
      <c r="H18" s="2"/>
      <c r="I18" s="2"/>
      <c r="J18" s="2"/>
      <c r="K18" s="2"/>
      <c r="L18" s="2">
        <v>1</v>
      </c>
      <c r="M18" s="2"/>
      <c r="N18" s="3" t="s">
        <v>38</v>
      </c>
      <c r="O18" s="1" t="s">
        <v>188</v>
      </c>
      <c r="P18" s="4">
        <f t="shared" si="0"/>
        <v>198.54</v>
      </c>
      <c r="Q18" s="4">
        <f t="shared" si="1"/>
        <v>198.54</v>
      </c>
      <c r="R18" s="4"/>
      <c r="S18" s="4"/>
    </row>
    <row r="19" spans="1:19" ht="15" customHeight="1" x14ac:dyDescent="0.15">
      <c r="A19" s="1" t="s">
        <v>189</v>
      </c>
      <c r="B19" s="2">
        <v>264</v>
      </c>
      <c r="C19" s="2">
        <v>69</v>
      </c>
      <c r="D19" s="2">
        <v>69</v>
      </c>
      <c r="E19" s="2"/>
      <c r="F19" s="2">
        <v>97</v>
      </c>
      <c r="G19" s="2">
        <v>69</v>
      </c>
      <c r="H19" s="2"/>
      <c r="I19" s="2">
        <v>38</v>
      </c>
      <c r="J19" s="2"/>
      <c r="K19" s="2"/>
      <c r="L19" s="2"/>
      <c r="M19" s="2">
        <v>1</v>
      </c>
      <c r="N19" s="3" t="s">
        <v>38</v>
      </c>
      <c r="O19" s="1" t="s">
        <v>190</v>
      </c>
      <c r="P19" s="4">
        <f t="shared" si="0"/>
        <v>179.8</v>
      </c>
      <c r="Q19" s="4">
        <f t="shared" si="1"/>
        <v>251.24</v>
      </c>
      <c r="R19" s="4"/>
      <c r="S19" s="4"/>
    </row>
    <row r="20" spans="1:19" ht="15" customHeight="1" x14ac:dyDescent="0.15">
      <c r="A20" s="1" t="s">
        <v>191</v>
      </c>
      <c r="B20" s="2">
        <v>264</v>
      </c>
      <c r="C20" s="2">
        <v>69</v>
      </c>
      <c r="D20" s="2">
        <v>69</v>
      </c>
      <c r="E20" s="2"/>
      <c r="F20" s="2">
        <v>97</v>
      </c>
      <c r="G20" s="2"/>
      <c r="H20" s="2">
        <v>52</v>
      </c>
      <c r="I20" s="2"/>
      <c r="J20" s="2">
        <v>30</v>
      </c>
      <c r="K20" s="2"/>
      <c r="L20" s="2"/>
      <c r="M20" s="2">
        <v>1</v>
      </c>
      <c r="N20" s="3" t="s">
        <v>38</v>
      </c>
      <c r="O20" s="1" t="s">
        <v>190</v>
      </c>
      <c r="P20" s="4">
        <f t="shared" si="0"/>
        <v>151.70000000000002</v>
      </c>
      <c r="Q20" s="4">
        <f t="shared" si="1"/>
        <v>151.70000000000002</v>
      </c>
      <c r="R20" s="4"/>
      <c r="S20" s="4"/>
    </row>
    <row r="21" spans="1:19" ht="15" customHeight="1" x14ac:dyDescent="0.15">
      <c r="A21" s="1" t="s">
        <v>192</v>
      </c>
      <c r="B21" s="2">
        <v>264</v>
      </c>
      <c r="C21" s="2">
        <v>69</v>
      </c>
      <c r="D21" s="2">
        <v>69</v>
      </c>
      <c r="E21" s="2"/>
      <c r="F21" s="2">
        <v>97</v>
      </c>
      <c r="G21" s="2">
        <v>52</v>
      </c>
      <c r="H21" s="2">
        <v>60</v>
      </c>
      <c r="I21" s="2"/>
      <c r="J21" s="2"/>
      <c r="K21" s="2"/>
      <c r="L21" s="2"/>
      <c r="M21" s="2">
        <v>1</v>
      </c>
      <c r="N21" s="3" t="s">
        <v>38</v>
      </c>
      <c r="O21" s="1" t="s">
        <v>193</v>
      </c>
      <c r="P21" s="4">
        <f t="shared" si="0"/>
        <v>208.74</v>
      </c>
      <c r="Q21" s="4">
        <f t="shared" si="1"/>
        <v>208.74</v>
      </c>
      <c r="R21" s="4"/>
      <c r="S21" s="4"/>
    </row>
    <row r="22" spans="1:19" ht="15" customHeight="1" x14ac:dyDescent="0.15">
      <c r="A22" s="1" t="s">
        <v>194</v>
      </c>
      <c r="B22" s="2">
        <v>264</v>
      </c>
      <c r="C22" s="2">
        <v>69</v>
      </c>
      <c r="D22" s="2">
        <v>69</v>
      </c>
      <c r="E22" s="2">
        <v>60</v>
      </c>
      <c r="F22" s="2">
        <v>97</v>
      </c>
      <c r="G22" s="2"/>
      <c r="H22" s="2">
        <v>52</v>
      </c>
      <c r="I22" s="2"/>
      <c r="J22" s="2"/>
      <c r="K22" s="2"/>
      <c r="L22" s="2">
        <v>1</v>
      </c>
      <c r="M22" s="2"/>
      <c r="N22" s="3" t="s">
        <v>38</v>
      </c>
      <c r="O22" s="1" t="s">
        <v>195</v>
      </c>
      <c r="P22" s="4">
        <f t="shared" si="0"/>
        <v>187.1</v>
      </c>
      <c r="Q22" s="4">
        <f t="shared" si="1"/>
        <v>187.1</v>
      </c>
      <c r="R22" s="4"/>
      <c r="S22" s="4"/>
    </row>
    <row r="23" spans="1:19" ht="15" customHeight="1" x14ac:dyDescent="0.15">
      <c r="A23" s="1" t="s">
        <v>196</v>
      </c>
      <c r="B23" s="2">
        <v>264</v>
      </c>
      <c r="C23" s="2">
        <v>69</v>
      </c>
      <c r="D23" s="2">
        <v>69</v>
      </c>
      <c r="E23" s="2"/>
      <c r="F23" s="2">
        <v>97</v>
      </c>
      <c r="G23" s="2">
        <v>60</v>
      </c>
      <c r="H23" s="2"/>
      <c r="I23" s="2"/>
      <c r="J23" s="2">
        <v>26</v>
      </c>
      <c r="K23" s="2"/>
      <c r="L23" s="2">
        <v>1</v>
      </c>
      <c r="M23" s="2"/>
      <c r="N23" s="3" t="s">
        <v>38</v>
      </c>
      <c r="O23" s="1" t="s">
        <v>197</v>
      </c>
      <c r="P23" s="4">
        <f t="shared" si="0"/>
        <v>170.98000000000002</v>
      </c>
      <c r="Q23" s="4">
        <f t="shared" si="1"/>
        <v>170.98000000000002</v>
      </c>
      <c r="R23" s="4"/>
      <c r="S23" s="4"/>
    </row>
    <row r="24" spans="1:19" ht="15" customHeight="1" x14ac:dyDescent="0.15">
      <c r="A24" s="1" t="s">
        <v>198</v>
      </c>
      <c r="B24" s="2">
        <v>264</v>
      </c>
      <c r="C24" s="2">
        <v>69</v>
      </c>
      <c r="D24" s="2">
        <v>69</v>
      </c>
      <c r="E24" s="2"/>
      <c r="F24" s="2">
        <v>97</v>
      </c>
      <c r="G24" s="2"/>
      <c r="H24" s="2">
        <v>69</v>
      </c>
      <c r="I24" s="2">
        <v>45</v>
      </c>
      <c r="J24" s="2"/>
      <c r="K24" s="2"/>
      <c r="L24" s="2"/>
      <c r="M24" s="2">
        <v>1</v>
      </c>
      <c r="N24" s="3" t="s">
        <v>38</v>
      </c>
      <c r="O24" s="1" t="s">
        <v>197</v>
      </c>
      <c r="P24" s="4">
        <f t="shared" si="0"/>
        <v>164.62</v>
      </c>
      <c r="Q24" s="4">
        <f t="shared" si="1"/>
        <v>249.22</v>
      </c>
      <c r="R24" s="4"/>
      <c r="S24" s="4"/>
    </row>
    <row r="25" spans="1:19" ht="15" customHeight="1" x14ac:dyDescent="0.15">
      <c r="A25" s="1" t="s">
        <v>199</v>
      </c>
      <c r="B25" s="2">
        <v>259</v>
      </c>
      <c r="C25" s="2">
        <v>66</v>
      </c>
      <c r="D25" s="2">
        <v>66</v>
      </c>
      <c r="E25" s="2"/>
      <c r="F25" s="2">
        <v>101</v>
      </c>
      <c r="G25" s="2">
        <v>62</v>
      </c>
      <c r="H25" s="2"/>
      <c r="I25" s="2">
        <v>50</v>
      </c>
      <c r="J25" s="2"/>
      <c r="K25" s="2"/>
      <c r="L25" s="2"/>
      <c r="M25" s="2"/>
      <c r="N25" s="3"/>
      <c r="O25" s="1" t="s">
        <v>200</v>
      </c>
      <c r="P25" s="4">
        <f t="shared" si="0"/>
        <v>176.28</v>
      </c>
      <c r="Q25" s="4">
        <f t="shared" si="1"/>
        <v>270.27999999999997</v>
      </c>
      <c r="R25" s="4"/>
      <c r="S25" s="4"/>
    </row>
    <row r="26" spans="1:19" ht="15" customHeight="1" x14ac:dyDescent="0.15">
      <c r="A26" s="1" t="s">
        <v>201</v>
      </c>
      <c r="B26" s="2">
        <v>259</v>
      </c>
      <c r="C26" s="2">
        <v>66</v>
      </c>
      <c r="D26" s="2">
        <v>66</v>
      </c>
      <c r="E26" s="2"/>
      <c r="F26" s="2">
        <v>101</v>
      </c>
      <c r="G26" s="2">
        <v>57</v>
      </c>
      <c r="H26" s="2"/>
      <c r="I26" s="2"/>
      <c r="J26" s="2">
        <v>29</v>
      </c>
      <c r="K26" s="2"/>
      <c r="L26" s="2"/>
      <c r="M26" s="2"/>
      <c r="N26" s="3"/>
      <c r="O26" s="1" t="s">
        <v>200</v>
      </c>
      <c r="P26" s="4">
        <f t="shared" si="0"/>
        <v>171.38</v>
      </c>
      <c r="Q26" s="4">
        <f t="shared" si="1"/>
        <v>171.38</v>
      </c>
      <c r="R26" s="4"/>
      <c r="S26" s="4"/>
    </row>
    <row r="27" spans="1:19" ht="15" customHeight="1" x14ac:dyDescent="0.15">
      <c r="A27" s="1" t="s">
        <v>202</v>
      </c>
      <c r="B27" s="2">
        <v>258</v>
      </c>
      <c r="C27" s="2">
        <v>65</v>
      </c>
      <c r="D27" s="2">
        <v>65</v>
      </c>
      <c r="E27" s="2"/>
      <c r="F27" s="2">
        <v>91</v>
      </c>
      <c r="G27" s="2"/>
      <c r="H27" s="2">
        <v>57</v>
      </c>
      <c r="I27" s="2">
        <v>49</v>
      </c>
      <c r="J27" s="2"/>
      <c r="K27" s="2">
        <v>1</v>
      </c>
      <c r="L27" s="2"/>
      <c r="M27" s="2"/>
      <c r="N27" s="3" t="s">
        <v>38</v>
      </c>
      <c r="O27" s="1" t="s">
        <v>203</v>
      </c>
      <c r="P27" s="4">
        <f t="shared" si="0"/>
        <v>148.62</v>
      </c>
      <c r="Q27" s="4">
        <f t="shared" si="1"/>
        <v>240.74</v>
      </c>
      <c r="R27" s="4"/>
      <c r="S27" s="4"/>
    </row>
    <row r="28" spans="1:19" ht="15" customHeight="1" x14ac:dyDescent="0.15">
      <c r="A28" s="1" t="s">
        <v>204</v>
      </c>
      <c r="B28" s="2">
        <v>251</v>
      </c>
      <c r="C28" s="2">
        <v>57</v>
      </c>
      <c r="D28" s="2">
        <v>62</v>
      </c>
      <c r="E28" s="2"/>
      <c r="F28" s="2">
        <v>85</v>
      </c>
      <c r="G28" s="2">
        <v>35</v>
      </c>
      <c r="H28" s="2">
        <v>59</v>
      </c>
      <c r="I28" s="2"/>
      <c r="J28" s="2"/>
      <c r="K28" s="2">
        <v>1</v>
      </c>
      <c r="L28" s="2"/>
      <c r="M28" s="2"/>
      <c r="N28" s="3" t="s">
        <v>38</v>
      </c>
      <c r="O28" s="1" t="s">
        <v>205</v>
      </c>
      <c r="P28" s="4">
        <f t="shared" ref="P28:P42" si="2">D28*0.22+E28*0.59+F28*1+G28*0.98+H28*0.76</f>
        <v>177.78</v>
      </c>
      <c r="Q28" s="4">
        <f t="shared" ref="Q28:Q42" si="3">P28+I28*1.88</f>
        <v>177.78</v>
      </c>
      <c r="R28" s="4"/>
      <c r="S28" s="4"/>
    </row>
    <row r="29" spans="1:19" ht="15" customHeight="1" x14ac:dyDescent="0.15">
      <c r="A29" s="1" t="s">
        <v>206</v>
      </c>
      <c r="B29" s="2">
        <v>251</v>
      </c>
      <c r="C29" s="2">
        <v>61</v>
      </c>
      <c r="D29" s="2">
        <v>61</v>
      </c>
      <c r="E29" s="2"/>
      <c r="F29" s="2">
        <v>85</v>
      </c>
      <c r="G29" s="2">
        <v>45</v>
      </c>
      <c r="H29" s="2"/>
      <c r="I29" s="2"/>
      <c r="J29" s="2">
        <v>27</v>
      </c>
      <c r="K29" s="2">
        <v>1</v>
      </c>
      <c r="L29" s="2"/>
      <c r="M29" s="2"/>
      <c r="N29" s="3" t="s">
        <v>38</v>
      </c>
      <c r="O29" s="1" t="s">
        <v>207</v>
      </c>
      <c r="P29" s="4">
        <f t="shared" si="2"/>
        <v>142.52000000000001</v>
      </c>
      <c r="Q29" s="4">
        <f t="shared" si="3"/>
        <v>142.52000000000001</v>
      </c>
      <c r="R29" s="4"/>
      <c r="S29" s="4"/>
    </row>
    <row r="30" spans="1:19" ht="15" customHeight="1" x14ac:dyDescent="0.15">
      <c r="A30" s="1" t="s">
        <v>208</v>
      </c>
      <c r="B30" s="2">
        <v>251</v>
      </c>
      <c r="C30" s="2">
        <v>61</v>
      </c>
      <c r="D30" s="2">
        <v>61</v>
      </c>
      <c r="E30" s="2"/>
      <c r="F30" s="2">
        <v>94</v>
      </c>
      <c r="G30" s="2">
        <v>57</v>
      </c>
      <c r="H30" s="2"/>
      <c r="I30" s="2">
        <v>47</v>
      </c>
      <c r="J30" s="2"/>
      <c r="K30" s="2"/>
      <c r="L30" s="2"/>
      <c r="M30" s="2"/>
      <c r="N30" s="3"/>
      <c r="O30" s="1" t="s">
        <v>209</v>
      </c>
      <c r="P30" s="4">
        <f t="shared" si="2"/>
        <v>163.28</v>
      </c>
      <c r="Q30" s="4">
        <f t="shared" si="3"/>
        <v>251.64</v>
      </c>
      <c r="R30" s="4"/>
      <c r="S30" s="4"/>
    </row>
    <row r="31" spans="1:19" ht="15" customHeight="1" x14ac:dyDescent="0.15">
      <c r="A31" s="8" t="s">
        <v>210</v>
      </c>
      <c r="B31" s="2">
        <v>251</v>
      </c>
      <c r="C31" s="2">
        <v>61</v>
      </c>
      <c r="D31" s="2">
        <v>61</v>
      </c>
      <c r="E31" s="2"/>
      <c r="F31" s="2">
        <v>94</v>
      </c>
      <c r="G31" s="2">
        <v>53</v>
      </c>
      <c r="H31" s="2"/>
      <c r="I31" s="2"/>
      <c r="J31" s="2">
        <v>27</v>
      </c>
      <c r="K31" s="2"/>
      <c r="L31" s="2"/>
      <c r="M31" s="2"/>
      <c r="N31" s="3"/>
      <c r="O31" s="1" t="s">
        <v>209</v>
      </c>
      <c r="P31" s="4">
        <f t="shared" si="2"/>
        <v>159.36000000000001</v>
      </c>
      <c r="Q31" s="4">
        <f t="shared" si="3"/>
        <v>159.36000000000001</v>
      </c>
      <c r="R31" s="4"/>
      <c r="S31" s="4"/>
    </row>
    <row r="32" spans="1:19" ht="15" customHeight="1" x14ac:dyDescent="0.15">
      <c r="A32" s="62" t="s">
        <v>730</v>
      </c>
      <c r="B32" s="11">
        <v>264</v>
      </c>
      <c r="C32" s="11">
        <v>103</v>
      </c>
      <c r="D32" s="11">
        <v>46</v>
      </c>
      <c r="E32" s="11"/>
      <c r="F32" s="11">
        <v>106</v>
      </c>
      <c r="G32" s="11"/>
      <c r="H32" s="11">
        <v>60</v>
      </c>
      <c r="I32" s="11"/>
      <c r="J32" s="11"/>
      <c r="K32" s="11"/>
      <c r="L32" s="11"/>
      <c r="M32" s="11"/>
      <c r="N32" s="63"/>
      <c r="O32" s="62" t="s">
        <v>731</v>
      </c>
      <c r="P32" s="64">
        <f t="shared" si="2"/>
        <v>161.72</v>
      </c>
      <c r="Q32" s="64">
        <f t="shared" si="3"/>
        <v>161.72</v>
      </c>
      <c r="R32" s="64"/>
      <c r="S32" s="4"/>
    </row>
    <row r="33" spans="1:19" ht="15" customHeight="1" x14ac:dyDescent="0.15">
      <c r="A33" s="62" t="s">
        <v>732</v>
      </c>
      <c r="B33" s="11">
        <v>258</v>
      </c>
      <c r="C33" s="11">
        <v>65</v>
      </c>
      <c r="D33" s="11">
        <v>65</v>
      </c>
      <c r="E33" s="11">
        <v>50</v>
      </c>
      <c r="F33" s="11">
        <v>91</v>
      </c>
      <c r="G33" s="11"/>
      <c r="H33" s="11">
        <v>53</v>
      </c>
      <c r="I33" s="11"/>
      <c r="J33" s="11"/>
      <c r="K33" s="11"/>
      <c r="L33" s="11">
        <v>1</v>
      </c>
      <c r="M33" s="11"/>
      <c r="N33" s="63" t="s">
        <v>724</v>
      </c>
      <c r="O33" s="62" t="s">
        <v>716</v>
      </c>
      <c r="P33" s="64">
        <f t="shared" si="2"/>
        <v>175.08</v>
      </c>
      <c r="Q33" s="64">
        <f t="shared" si="3"/>
        <v>175.08</v>
      </c>
      <c r="R33" s="64"/>
      <c r="S33" s="4"/>
    </row>
    <row r="34" spans="1:19" ht="15" customHeight="1" x14ac:dyDescent="0.15">
      <c r="A34" s="62" t="s">
        <v>733</v>
      </c>
      <c r="B34" s="11">
        <v>258</v>
      </c>
      <c r="C34" s="11">
        <v>65</v>
      </c>
      <c r="D34" s="11">
        <v>65</v>
      </c>
      <c r="E34" s="11"/>
      <c r="F34" s="11">
        <v>91</v>
      </c>
      <c r="G34" s="11">
        <v>49</v>
      </c>
      <c r="H34" s="11"/>
      <c r="I34" s="11"/>
      <c r="J34" s="11">
        <v>28</v>
      </c>
      <c r="K34" s="11"/>
      <c r="L34" s="11">
        <v>1</v>
      </c>
      <c r="M34" s="11"/>
      <c r="N34" s="63" t="s">
        <v>734</v>
      </c>
      <c r="O34" s="62" t="s">
        <v>718</v>
      </c>
      <c r="P34" s="64">
        <f t="shared" si="2"/>
        <v>153.32</v>
      </c>
      <c r="Q34" s="64">
        <f t="shared" si="3"/>
        <v>153.32</v>
      </c>
      <c r="R34" s="64"/>
      <c r="S34" s="4"/>
    </row>
    <row r="35" spans="1:19" ht="15" customHeight="1" x14ac:dyDescent="0.15">
      <c r="A35" s="62" t="s">
        <v>735</v>
      </c>
      <c r="B35" s="11">
        <v>251</v>
      </c>
      <c r="C35" s="11">
        <v>78</v>
      </c>
      <c r="D35" s="11">
        <v>54</v>
      </c>
      <c r="E35" s="11">
        <v>54</v>
      </c>
      <c r="F35" s="11">
        <v>94</v>
      </c>
      <c r="G35" s="11"/>
      <c r="H35" s="11"/>
      <c r="I35" s="11"/>
      <c r="J35" s="11">
        <v>27</v>
      </c>
      <c r="K35" s="11"/>
      <c r="L35" s="11"/>
      <c r="M35" s="11"/>
      <c r="N35" s="63"/>
      <c r="O35" s="62" t="s">
        <v>736</v>
      </c>
      <c r="P35" s="64">
        <f t="shared" si="2"/>
        <v>137.74</v>
      </c>
      <c r="Q35" s="64">
        <f t="shared" si="3"/>
        <v>137.74</v>
      </c>
      <c r="R35" s="64"/>
      <c r="S35" s="4"/>
    </row>
    <row r="36" spans="1:19" ht="15" customHeight="1" x14ac:dyDescent="0.15">
      <c r="A36" s="62" t="s">
        <v>737</v>
      </c>
      <c r="B36" s="11">
        <v>251</v>
      </c>
      <c r="C36" s="11">
        <v>78</v>
      </c>
      <c r="D36" s="11">
        <v>54</v>
      </c>
      <c r="E36" s="11"/>
      <c r="F36" s="11">
        <v>94</v>
      </c>
      <c r="G36" s="11">
        <v>53</v>
      </c>
      <c r="H36" s="11">
        <v>53</v>
      </c>
      <c r="I36" s="11"/>
      <c r="J36" s="11"/>
      <c r="K36" s="11"/>
      <c r="L36" s="11"/>
      <c r="M36" s="11"/>
      <c r="N36" s="63"/>
      <c r="O36" s="62" t="s">
        <v>736</v>
      </c>
      <c r="P36" s="64">
        <f t="shared" si="2"/>
        <v>198.1</v>
      </c>
      <c r="Q36" s="64">
        <f t="shared" si="3"/>
        <v>198.1</v>
      </c>
      <c r="R36" s="64"/>
      <c r="S36" s="4"/>
    </row>
    <row r="37" spans="1:19" ht="15" customHeight="1" x14ac:dyDescent="0.15">
      <c r="A37" s="62" t="s">
        <v>738</v>
      </c>
      <c r="B37" s="11">
        <v>245</v>
      </c>
      <c r="C37" s="11">
        <v>54</v>
      </c>
      <c r="D37" s="11">
        <v>59</v>
      </c>
      <c r="E37" s="11"/>
      <c r="F37" s="11">
        <v>80</v>
      </c>
      <c r="G37" s="11"/>
      <c r="H37" s="11">
        <v>33</v>
      </c>
      <c r="I37" s="11">
        <v>56</v>
      </c>
      <c r="J37" s="11"/>
      <c r="K37" s="11">
        <v>1</v>
      </c>
      <c r="L37" s="11"/>
      <c r="M37" s="11"/>
      <c r="N37" s="63" t="s">
        <v>724</v>
      </c>
      <c r="O37" s="62" t="s">
        <v>725</v>
      </c>
      <c r="P37" s="64">
        <f t="shared" si="2"/>
        <v>118.06</v>
      </c>
      <c r="Q37" s="64">
        <f t="shared" si="3"/>
        <v>223.34</v>
      </c>
      <c r="R37" s="64"/>
      <c r="S37" s="4"/>
    </row>
    <row r="38" spans="1:19" ht="15" customHeight="1" x14ac:dyDescent="0.15">
      <c r="A38" s="62" t="s">
        <v>739</v>
      </c>
      <c r="B38" s="11">
        <v>245</v>
      </c>
      <c r="C38" s="11">
        <v>58</v>
      </c>
      <c r="D38" s="11">
        <v>58</v>
      </c>
      <c r="E38" s="11"/>
      <c r="F38" s="11">
        <v>89</v>
      </c>
      <c r="G38" s="11">
        <v>50</v>
      </c>
      <c r="H38" s="11"/>
      <c r="I38" s="11"/>
      <c r="J38" s="11">
        <v>25</v>
      </c>
      <c r="K38" s="11"/>
      <c r="L38" s="11"/>
      <c r="M38" s="11"/>
      <c r="N38" s="63"/>
      <c r="O38" s="62" t="s">
        <v>740</v>
      </c>
      <c r="P38" s="64">
        <f t="shared" si="2"/>
        <v>150.76</v>
      </c>
      <c r="Q38" s="64">
        <f t="shared" si="3"/>
        <v>150.76</v>
      </c>
      <c r="R38" s="64"/>
      <c r="S38" s="4"/>
    </row>
    <row r="39" spans="1:19" ht="15" customHeight="1" x14ac:dyDescent="0.15">
      <c r="A39" s="62" t="s">
        <v>741</v>
      </c>
      <c r="B39" s="11">
        <v>245</v>
      </c>
      <c r="C39" s="11">
        <v>58</v>
      </c>
      <c r="D39" s="11">
        <v>58</v>
      </c>
      <c r="E39" s="11">
        <v>44</v>
      </c>
      <c r="F39" s="11">
        <v>89</v>
      </c>
      <c r="G39" s="11"/>
      <c r="H39" s="11">
        <v>54</v>
      </c>
      <c r="I39" s="11"/>
      <c r="J39" s="11"/>
      <c r="K39" s="11"/>
      <c r="L39" s="11"/>
      <c r="M39" s="11"/>
      <c r="N39" s="63"/>
      <c r="O39" s="62" t="s">
        <v>740</v>
      </c>
      <c r="P39" s="64">
        <f t="shared" si="2"/>
        <v>168.76</v>
      </c>
      <c r="Q39" s="64">
        <f t="shared" si="3"/>
        <v>168.76</v>
      </c>
      <c r="R39" s="64"/>
      <c r="S39" s="4"/>
    </row>
    <row r="40" spans="1:19" ht="15" customHeight="1" x14ac:dyDescent="0.15">
      <c r="A40" s="62" t="s">
        <v>742</v>
      </c>
      <c r="B40" s="11">
        <v>245</v>
      </c>
      <c r="C40" s="11">
        <v>61</v>
      </c>
      <c r="D40" s="11">
        <v>36</v>
      </c>
      <c r="E40" s="11">
        <v>56</v>
      </c>
      <c r="F40" s="11">
        <v>89</v>
      </c>
      <c r="G40" s="11"/>
      <c r="H40" s="11">
        <v>53</v>
      </c>
      <c r="I40" s="11"/>
      <c r="J40" s="11"/>
      <c r="K40" s="11"/>
      <c r="L40" s="11"/>
      <c r="M40" s="11"/>
      <c r="N40" s="63"/>
      <c r="O40" s="62" t="s">
        <v>743</v>
      </c>
      <c r="P40" s="64">
        <f t="shared" si="2"/>
        <v>170.24</v>
      </c>
      <c r="Q40" s="64">
        <f t="shared" si="3"/>
        <v>170.24</v>
      </c>
      <c r="R40" s="64"/>
      <c r="S40" s="4"/>
    </row>
    <row r="41" spans="1:19" ht="15" customHeight="1" x14ac:dyDescent="0.15">
      <c r="A41" s="62" t="s">
        <v>744</v>
      </c>
      <c r="B41" s="11">
        <v>245</v>
      </c>
      <c r="C41" s="11">
        <v>58</v>
      </c>
      <c r="D41" s="11">
        <v>58</v>
      </c>
      <c r="E41" s="11"/>
      <c r="F41" s="11">
        <v>89</v>
      </c>
      <c r="G41" s="11"/>
      <c r="H41" s="11">
        <v>50</v>
      </c>
      <c r="I41" s="11"/>
      <c r="J41" s="11">
        <v>25</v>
      </c>
      <c r="K41" s="11"/>
      <c r="L41" s="11"/>
      <c r="M41" s="11"/>
      <c r="N41" s="63"/>
      <c r="O41" s="62" t="s">
        <v>745</v>
      </c>
      <c r="P41" s="64">
        <f t="shared" si="2"/>
        <v>139.76</v>
      </c>
      <c r="Q41" s="64">
        <f t="shared" si="3"/>
        <v>139.76</v>
      </c>
      <c r="R41" s="64"/>
      <c r="S41" s="4"/>
    </row>
    <row r="42" spans="1:19" ht="15" customHeight="1" x14ac:dyDescent="0.15">
      <c r="A42" s="62" t="s">
        <v>746</v>
      </c>
      <c r="B42" s="11">
        <v>245</v>
      </c>
      <c r="C42" s="11">
        <v>58</v>
      </c>
      <c r="D42" s="11">
        <v>58</v>
      </c>
      <c r="E42" s="11">
        <v>50</v>
      </c>
      <c r="F42" s="11">
        <v>89</v>
      </c>
      <c r="G42" s="11"/>
      <c r="H42" s="11">
        <v>50</v>
      </c>
      <c r="I42" s="11"/>
      <c r="J42" s="11"/>
      <c r="K42" s="11"/>
      <c r="L42" s="11"/>
      <c r="M42" s="11"/>
      <c r="N42" s="63"/>
      <c r="O42" s="62" t="s">
        <v>745</v>
      </c>
      <c r="P42" s="64">
        <f t="shared" si="2"/>
        <v>169.26</v>
      </c>
      <c r="Q42" s="64">
        <f t="shared" si="3"/>
        <v>169.26</v>
      </c>
      <c r="R42" s="64"/>
      <c r="S42" s="4"/>
    </row>
    <row r="43" spans="1:19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1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1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1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1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1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9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  <c r="P49" s="4"/>
      <c r="Q49" s="4"/>
      <c r="R49" s="4"/>
      <c r="S49" s="4"/>
    </row>
    <row r="50" spans="1:19" ht="15" customHeight="1" x14ac:dyDescent="0.15">
      <c r="A50" s="1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3"/>
      <c r="O50" s="1"/>
      <c r="P50" s="4"/>
      <c r="Q50" s="4"/>
      <c r="R50" s="4"/>
      <c r="S50" s="4"/>
    </row>
    <row r="51" spans="1:19" ht="15" customHeight="1" x14ac:dyDescent="0.15">
      <c r="A51" s="1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3"/>
      <c r="O51" s="1"/>
      <c r="P51" s="4"/>
      <c r="Q51" s="4"/>
      <c r="R51" s="4"/>
      <c r="S51" s="4"/>
    </row>
    <row r="52" spans="1:19" ht="15" customHeight="1" x14ac:dyDescent="0.15">
      <c r="A52" s="1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3"/>
      <c r="O52" s="1"/>
      <c r="P52" s="4"/>
      <c r="Q52" s="4"/>
      <c r="R52" s="4"/>
      <c r="S52" s="4"/>
    </row>
    <row r="53" spans="1:19" ht="15" customHeight="1" x14ac:dyDescent="0.15">
      <c r="A53" s="1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3"/>
      <c r="O53" s="1"/>
      <c r="P53" s="4"/>
      <c r="Q53" s="4"/>
      <c r="R53" s="4"/>
      <c r="S53" s="4"/>
    </row>
    <row r="54" spans="1:19" ht="15" customHeight="1" x14ac:dyDescent="0.15">
      <c r="A54" s="1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3"/>
      <c r="O5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24"/>
  <sheetViews>
    <sheetView workbookViewId="0">
      <selection activeCell="A18" sqref="A18"/>
    </sheetView>
  </sheetViews>
  <sheetFormatPr defaultRowHeight="15" customHeight="1" x14ac:dyDescent="0.15"/>
  <cols>
    <col min="1" max="1" width="24.625" style="4" customWidth="1"/>
    <col min="2" max="2" width="5.75" style="4" customWidth="1"/>
    <col min="3" max="5" width="6.5" style="4" customWidth="1"/>
    <col min="6" max="6" width="10.25" style="4" customWidth="1"/>
    <col min="7" max="9" width="6.5" style="4" customWidth="1"/>
    <col min="10" max="10" width="7" style="4" customWidth="1"/>
    <col min="11" max="13" width="4.625" style="4" customWidth="1"/>
    <col min="14" max="14" width="10.25" style="4" customWidth="1"/>
    <col min="15" max="15" width="24.625" style="4" customWidth="1"/>
    <col min="16" max="16" width="10.25" style="4" customWidth="1"/>
    <col min="17" max="17" width="9.75" style="4" customWidth="1"/>
    <col min="18" max="256" width="9" style="4"/>
    <col min="257" max="257" width="24.625" style="4" customWidth="1"/>
    <col min="258" max="258" width="5.125" style="4" bestFit="1" customWidth="1"/>
    <col min="259" max="259" width="5.125" style="4" customWidth="1"/>
    <col min="260" max="261" width="5.25" style="4" customWidth="1"/>
    <col min="262" max="262" width="9.125" style="4" customWidth="1"/>
    <col min="263" max="266" width="5.125" style="4" customWidth="1"/>
    <col min="267" max="269" width="3.625" style="4" bestFit="1" customWidth="1"/>
    <col min="270" max="270" width="9.125" style="4" customWidth="1"/>
    <col min="271" max="271" width="24.625" style="4" customWidth="1"/>
    <col min="272" max="273" width="9.125" style="4" customWidth="1"/>
    <col min="274" max="512" width="9" style="4"/>
    <col min="513" max="513" width="24.625" style="4" customWidth="1"/>
    <col min="514" max="514" width="5.125" style="4" bestFit="1" customWidth="1"/>
    <col min="515" max="515" width="5.125" style="4" customWidth="1"/>
    <col min="516" max="517" width="5.25" style="4" customWidth="1"/>
    <col min="518" max="518" width="9.125" style="4" customWidth="1"/>
    <col min="519" max="522" width="5.125" style="4" customWidth="1"/>
    <col min="523" max="525" width="3.625" style="4" bestFit="1" customWidth="1"/>
    <col min="526" max="526" width="9.125" style="4" customWidth="1"/>
    <col min="527" max="527" width="24.625" style="4" customWidth="1"/>
    <col min="528" max="529" width="9.125" style="4" customWidth="1"/>
    <col min="530" max="768" width="9" style="4"/>
    <col min="769" max="769" width="24.625" style="4" customWidth="1"/>
    <col min="770" max="770" width="5.125" style="4" bestFit="1" customWidth="1"/>
    <col min="771" max="771" width="5.125" style="4" customWidth="1"/>
    <col min="772" max="773" width="5.25" style="4" customWidth="1"/>
    <col min="774" max="774" width="9.125" style="4" customWidth="1"/>
    <col min="775" max="778" width="5.125" style="4" customWidth="1"/>
    <col min="779" max="781" width="3.625" style="4" bestFit="1" customWidth="1"/>
    <col min="782" max="782" width="9.125" style="4" customWidth="1"/>
    <col min="783" max="783" width="24.625" style="4" customWidth="1"/>
    <col min="784" max="785" width="9.125" style="4" customWidth="1"/>
    <col min="786" max="1024" width="9" style="4"/>
    <col min="1025" max="1025" width="24.625" style="4" customWidth="1"/>
    <col min="1026" max="1026" width="5.125" style="4" bestFit="1" customWidth="1"/>
    <col min="1027" max="1027" width="5.125" style="4" customWidth="1"/>
    <col min="1028" max="1029" width="5.25" style="4" customWidth="1"/>
    <col min="1030" max="1030" width="9.125" style="4" customWidth="1"/>
    <col min="1031" max="1034" width="5.125" style="4" customWidth="1"/>
    <col min="1035" max="1037" width="3.625" style="4" bestFit="1" customWidth="1"/>
    <col min="1038" max="1038" width="9.125" style="4" customWidth="1"/>
    <col min="1039" max="1039" width="24.625" style="4" customWidth="1"/>
    <col min="1040" max="1041" width="9.125" style="4" customWidth="1"/>
    <col min="1042" max="1280" width="9" style="4"/>
    <col min="1281" max="1281" width="24.625" style="4" customWidth="1"/>
    <col min="1282" max="1282" width="5.125" style="4" bestFit="1" customWidth="1"/>
    <col min="1283" max="1283" width="5.125" style="4" customWidth="1"/>
    <col min="1284" max="1285" width="5.25" style="4" customWidth="1"/>
    <col min="1286" max="1286" width="9.125" style="4" customWidth="1"/>
    <col min="1287" max="1290" width="5.125" style="4" customWidth="1"/>
    <col min="1291" max="1293" width="3.625" style="4" bestFit="1" customWidth="1"/>
    <col min="1294" max="1294" width="9.125" style="4" customWidth="1"/>
    <col min="1295" max="1295" width="24.625" style="4" customWidth="1"/>
    <col min="1296" max="1297" width="9.125" style="4" customWidth="1"/>
    <col min="1298" max="1536" width="9" style="4"/>
    <col min="1537" max="1537" width="24.625" style="4" customWidth="1"/>
    <col min="1538" max="1538" width="5.125" style="4" bestFit="1" customWidth="1"/>
    <col min="1539" max="1539" width="5.125" style="4" customWidth="1"/>
    <col min="1540" max="1541" width="5.25" style="4" customWidth="1"/>
    <col min="1542" max="1542" width="9.125" style="4" customWidth="1"/>
    <col min="1543" max="1546" width="5.125" style="4" customWidth="1"/>
    <col min="1547" max="1549" width="3.625" style="4" bestFit="1" customWidth="1"/>
    <col min="1550" max="1550" width="9.125" style="4" customWidth="1"/>
    <col min="1551" max="1551" width="24.625" style="4" customWidth="1"/>
    <col min="1552" max="1553" width="9.125" style="4" customWidth="1"/>
    <col min="1554" max="1792" width="9" style="4"/>
    <col min="1793" max="1793" width="24.625" style="4" customWidth="1"/>
    <col min="1794" max="1794" width="5.125" style="4" bestFit="1" customWidth="1"/>
    <col min="1795" max="1795" width="5.125" style="4" customWidth="1"/>
    <col min="1796" max="1797" width="5.25" style="4" customWidth="1"/>
    <col min="1798" max="1798" width="9.125" style="4" customWidth="1"/>
    <col min="1799" max="1802" width="5.125" style="4" customWidth="1"/>
    <col min="1803" max="1805" width="3.625" style="4" bestFit="1" customWidth="1"/>
    <col min="1806" max="1806" width="9.125" style="4" customWidth="1"/>
    <col min="1807" max="1807" width="24.625" style="4" customWidth="1"/>
    <col min="1808" max="1809" width="9.125" style="4" customWidth="1"/>
    <col min="1810" max="2048" width="9" style="4"/>
    <col min="2049" max="2049" width="24.625" style="4" customWidth="1"/>
    <col min="2050" max="2050" width="5.125" style="4" bestFit="1" customWidth="1"/>
    <col min="2051" max="2051" width="5.125" style="4" customWidth="1"/>
    <col min="2052" max="2053" width="5.25" style="4" customWidth="1"/>
    <col min="2054" max="2054" width="9.125" style="4" customWidth="1"/>
    <col min="2055" max="2058" width="5.125" style="4" customWidth="1"/>
    <col min="2059" max="2061" width="3.625" style="4" bestFit="1" customWidth="1"/>
    <col min="2062" max="2062" width="9.125" style="4" customWidth="1"/>
    <col min="2063" max="2063" width="24.625" style="4" customWidth="1"/>
    <col min="2064" max="2065" width="9.125" style="4" customWidth="1"/>
    <col min="2066" max="2304" width="9" style="4"/>
    <col min="2305" max="2305" width="24.625" style="4" customWidth="1"/>
    <col min="2306" max="2306" width="5.125" style="4" bestFit="1" customWidth="1"/>
    <col min="2307" max="2307" width="5.125" style="4" customWidth="1"/>
    <col min="2308" max="2309" width="5.25" style="4" customWidth="1"/>
    <col min="2310" max="2310" width="9.125" style="4" customWidth="1"/>
    <col min="2311" max="2314" width="5.125" style="4" customWidth="1"/>
    <col min="2315" max="2317" width="3.625" style="4" bestFit="1" customWidth="1"/>
    <col min="2318" max="2318" width="9.125" style="4" customWidth="1"/>
    <col min="2319" max="2319" width="24.625" style="4" customWidth="1"/>
    <col min="2320" max="2321" width="9.125" style="4" customWidth="1"/>
    <col min="2322" max="2560" width="9" style="4"/>
    <col min="2561" max="2561" width="24.625" style="4" customWidth="1"/>
    <col min="2562" max="2562" width="5.125" style="4" bestFit="1" customWidth="1"/>
    <col min="2563" max="2563" width="5.125" style="4" customWidth="1"/>
    <col min="2564" max="2565" width="5.25" style="4" customWidth="1"/>
    <col min="2566" max="2566" width="9.125" style="4" customWidth="1"/>
    <col min="2567" max="2570" width="5.125" style="4" customWidth="1"/>
    <col min="2571" max="2573" width="3.625" style="4" bestFit="1" customWidth="1"/>
    <col min="2574" max="2574" width="9.125" style="4" customWidth="1"/>
    <col min="2575" max="2575" width="24.625" style="4" customWidth="1"/>
    <col min="2576" max="2577" width="9.125" style="4" customWidth="1"/>
    <col min="2578" max="2816" width="9" style="4"/>
    <col min="2817" max="2817" width="24.625" style="4" customWidth="1"/>
    <col min="2818" max="2818" width="5.125" style="4" bestFit="1" customWidth="1"/>
    <col min="2819" max="2819" width="5.125" style="4" customWidth="1"/>
    <col min="2820" max="2821" width="5.25" style="4" customWidth="1"/>
    <col min="2822" max="2822" width="9.125" style="4" customWidth="1"/>
    <col min="2823" max="2826" width="5.125" style="4" customWidth="1"/>
    <col min="2827" max="2829" width="3.625" style="4" bestFit="1" customWidth="1"/>
    <col min="2830" max="2830" width="9.125" style="4" customWidth="1"/>
    <col min="2831" max="2831" width="24.625" style="4" customWidth="1"/>
    <col min="2832" max="2833" width="9.125" style="4" customWidth="1"/>
    <col min="2834" max="3072" width="9" style="4"/>
    <col min="3073" max="3073" width="24.625" style="4" customWidth="1"/>
    <col min="3074" max="3074" width="5.125" style="4" bestFit="1" customWidth="1"/>
    <col min="3075" max="3075" width="5.125" style="4" customWidth="1"/>
    <col min="3076" max="3077" width="5.25" style="4" customWidth="1"/>
    <col min="3078" max="3078" width="9.125" style="4" customWidth="1"/>
    <col min="3079" max="3082" width="5.125" style="4" customWidth="1"/>
    <col min="3083" max="3085" width="3.625" style="4" bestFit="1" customWidth="1"/>
    <col min="3086" max="3086" width="9.125" style="4" customWidth="1"/>
    <col min="3087" max="3087" width="24.625" style="4" customWidth="1"/>
    <col min="3088" max="3089" width="9.125" style="4" customWidth="1"/>
    <col min="3090" max="3328" width="9" style="4"/>
    <col min="3329" max="3329" width="24.625" style="4" customWidth="1"/>
    <col min="3330" max="3330" width="5.125" style="4" bestFit="1" customWidth="1"/>
    <col min="3331" max="3331" width="5.125" style="4" customWidth="1"/>
    <col min="3332" max="3333" width="5.25" style="4" customWidth="1"/>
    <col min="3334" max="3334" width="9.125" style="4" customWidth="1"/>
    <col min="3335" max="3338" width="5.125" style="4" customWidth="1"/>
    <col min="3339" max="3341" width="3.625" style="4" bestFit="1" customWidth="1"/>
    <col min="3342" max="3342" width="9.125" style="4" customWidth="1"/>
    <col min="3343" max="3343" width="24.625" style="4" customWidth="1"/>
    <col min="3344" max="3345" width="9.125" style="4" customWidth="1"/>
    <col min="3346" max="3584" width="9" style="4"/>
    <col min="3585" max="3585" width="24.625" style="4" customWidth="1"/>
    <col min="3586" max="3586" width="5.125" style="4" bestFit="1" customWidth="1"/>
    <col min="3587" max="3587" width="5.125" style="4" customWidth="1"/>
    <col min="3588" max="3589" width="5.25" style="4" customWidth="1"/>
    <col min="3590" max="3590" width="9.125" style="4" customWidth="1"/>
    <col min="3591" max="3594" width="5.125" style="4" customWidth="1"/>
    <col min="3595" max="3597" width="3.625" style="4" bestFit="1" customWidth="1"/>
    <col min="3598" max="3598" width="9.125" style="4" customWidth="1"/>
    <col min="3599" max="3599" width="24.625" style="4" customWidth="1"/>
    <col min="3600" max="3601" width="9.125" style="4" customWidth="1"/>
    <col min="3602" max="3840" width="9" style="4"/>
    <col min="3841" max="3841" width="24.625" style="4" customWidth="1"/>
    <col min="3842" max="3842" width="5.125" style="4" bestFit="1" customWidth="1"/>
    <col min="3843" max="3843" width="5.125" style="4" customWidth="1"/>
    <col min="3844" max="3845" width="5.25" style="4" customWidth="1"/>
    <col min="3846" max="3846" width="9.125" style="4" customWidth="1"/>
    <col min="3847" max="3850" width="5.125" style="4" customWidth="1"/>
    <col min="3851" max="3853" width="3.625" style="4" bestFit="1" customWidth="1"/>
    <col min="3854" max="3854" width="9.125" style="4" customWidth="1"/>
    <col min="3855" max="3855" width="24.625" style="4" customWidth="1"/>
    <col min="3856" max="3857" width="9.125" style="4" customWidth="1"/>
    <col min="3858" max="4096" width="9" style="4"/>
    <col min="4097" max="4097" width="24.625" style="4" customWidth="1"/>
    <col min="4098" max="4098" width="5.125" style="4" bestFit="1" customWidth="1"/>
    <col min="4099" max="4099" width="5.125" style="4" customWidth="1"/>
    <col min="4100" max="4101" width="5.25" style="4" customWidth="1"/>
    <col min="4102" max="4102" width="9.125" style="4" customWidth="1"/>
    <col min="4103" max="4106" width="5.125" style="4" customWidth="1"/>
    <col min="4107" max="4109" width="3.625" style="4" bestFit="1" customWidth="1"/>
    <col min="4110" max="4110" width="9.125" style="4" customWidth="1"/>
    <col min="4111" max="4111" width="24.625" style="4" customWidth="1"/>
    <col min="4112" max="4113" width="9.125" style="4" customWidth="1"/>
    <col min="4114" max="4352" width="9" style="4"/>
    <col min="4353" max="4353" width="24.625" style="4" customWidth="1"/>
    <col min="4354" max="4354" width="5.125" style="4" bestFit="1" customWidth="1"/>
    <col min="4355" max="4355" width="5.125" style="4" customWidth="1"/>
    <col min="4356" max="4357" width="5.25" style="4" customWidth="1"/>
    <col min="4358" max="4358" width="9.125" style="4" customWidth="1"/>
    <col min="4359" max="4362" width="5.125" style="4" customWidth="1"/>
    <col min="4363" max="4365" width="3.625" style="4" bestFit="1" customWidth="1"/>
    <col min="4366" max="4366" width="9.125" style="4" customWidth="1"/>
    <col min="4367" max="4367" width="24.625" style="4" customWidth="1"/>
    <col min="4368" max="4369" width="9.125" style="4" customWidth="1"/>
    <col min="4370" max="4608" width="9" style="4"/>
    <col min="4609" max="4609" width="24.625" style="4" customWidth="1"/>
    <col min="4610" max="4610" width="5.125" style="4" bestFit="1" customWidth="1"/>
    <col min="4611" max="4611" width="5.125" style="4" customWidth="1"/>
    <col min="4612" max="4613" width="5.25" style="4" customWidth="1"/>
    <col min="4614" max="4614" width="9.125" style="4" customWidth="1"/>
    <col min="4615" max="4618" width="5.125" style="4" customWidth="1"/>
    <col min="4619" max="4621" width="3.625" style="4" bestFit="1" customWidth="1"/>
    <col min="4622" max="4622" width="9.125" style="4" customWidth="1"/>
    <col min="4623" max="4623" width="24.625" style="4" customWidth="1"/>
    <col min="4624" max="4625" width="9.125" style="4" customWidth="1"/>
    <col min="4626" max="4864" width="9" style="4"/>
    <col min="4865" max="4865" width="24.625" style="4" customWidth="1"/>
    <col min="4866" max="4866" width="5.125" style="4" bestFit="1" customWidth="1"/>
    <col min="4867" max="4867" width="5.125" style="4" customWidth="1"/>
    <col min="4868" max="4869" width="5.25" style="4" customWidth="1"/>
    <col min="4870" max="4870" width="9.125" style="4" customWidth="1"/>
    <col min="4871" max="4874" width="5.125" style="4" customWidth="1"/>
    <col min="4875" max="4877" width="3.625" style="4" bestFit="1" customWidth="1"/>
    <col min="4878" max="4878" width="9.125" style="4" customWidth="1"/>
    <col min="4879" max="4879" width="24.625" style="4" customWidth="1"/>
    <col min="4880" max="4881" width="9.125" style="4" customWidth="1"/>
    <col min="4882" max="5120" width="9" style="4"/>
    <col min="5121" max="5121" width="24.625" style="4" customWidth="1"/>
    <col min="5122" max="5122" width="5.125" style="4" bestFit="1" customWidth="1"/>
    <col min="5123" max="5123" width="5.125" style="4" customWidth="1"/>
    <col min="5124" max="5125" width="5.25" style="4" customWidth="1"/>
    <col min="5126" max="5126" width="9.125" style="4" customWidth="1"/>
    <col min="5127" max="5130" width="5.125" style="4" customWidth="1"/>
    <col min="5131" max="5133" width="3.625" style="4" bestFit="1" customWidth="1"/>
    <col min="5134" max="5134" width="9.125" style="4" customWidth="1"/>
    <col min="5135" max="5135" width="24.625" style="4" customWidth="1"/>
    <col min="5136" max="5137" width="9.125" style="4" customWidth="1"/>
    <col min="5138" max="5376" width="9" style="4"/>
    <col min="5377" max="5377" width="24.625" style="4" customWidth="1"/>
    <col min="5378" max="5378" width="5.125" style="4" bestFit="1" customWidth="1"/>
    <col min="5379" max="5379" width="5.125" style="4" customWidth="1"/>
    <col min="5380" max="5381" width="5.25" style="4" customWidth="1"/>
    <col min="5382" max="5382" width="9.125" style="4" customWidth="1"/>
    <col min="5383" max="5386" width="5.125" style="4" customWidth="1"/>
    <col min="5387" max="5389" width="3.625" style="4" bestFit="1" customWidth="1"/>
    <col min="5390" max="5390" width="9.125" style="4" customWidth="1"/>
    <col min="5391" max="5391" width="24.625" style="4" customWidth="1"/>
    <col min="5392" max="5393" width="9.125" style="4" customWidth="1"/>
    <col min="5394" max="5632" width="9" style="4"/>
    <col min="5633" max="5633" width="24.625" style="4" customWidth="1"/>
    <col min="5634" max="5634" width="5.125" style="4" bestFit="1" customWidth="1"/>
    <col min="5635" max="5635" width="5.125" style="4" customWidth="1"/>
    <col min="5636" max="5637" width="5.25" style="4" customWidth="1"/>
    <col min="5638" max="5638" width="9.125" style="4" customWidth="1"/>
    <col min="5639" max="5642" width="5.125" style="4" customWidth="1"/>
    <col min="5643" max="5645" width="3.625" style="4" bestFit="1" customWidth="1"/>
    <col min="5646" max="5646" width="9.125" style="4" customWidth="1"/>
    <col min="5647" max="5647" width="24.625" style="4" customWidth="1"/>
    <col min="5648" max="5649" width="9.125" style="4" customWidth="1"/>
    <col min="5650" max="5888" width="9" style="4"/>
    <col min="5889" max="5889" width="24.625" style="4" customWidth="1"/>
    <col min="5890" max="5890" width="5.125" style="4" bestFit="1" customWidth="1"/>
    <col min="5891" max="5891" width="5.125" style="4" customWidth="1"/>
    <col min="5892" max="5893" width="5.25" style="4" customWidth="1"/>
    <col min="5894" max="5894" width="9.125" style="4" customWidth="1"/>
    <col min="5895" max="5898" width="5.125" style="4" customWidth="1"/>
    <col min="5899" max="5901" width="3.625" style="4" bestFit="1" customWidth="1"/>
    <col min="5902" max="5902" width="9.125" style="4" customWidth="1"/>
    <col min="5903" max="5903" width="24.625" style="4" customWidth="1"/>
    <col min="5904" max="5905" width="9.125" style="4" customWidth="1"/>
    <col min="5906" max="6144" width="9" style="4"/>
    <col min="6145" max="6145" width="24.625" style="4" customWidth="1"/>
    <col min="6146" max="6146" width="5.125" style="4" bestFit="1" customWidth="1"/>
    <col min="6147" max="6147" width="5.125" style="4" customWidth="1"/>
    <col min="6148" max="6149" width="5.25" style="4" customWidth="1"/>
    <col min="6150" max="6150" width="9.125" style="4" customWidth="1"/>
    <col min="6151" max="6154" width="5.125" style="4" customWidth="1"/>
    <col min="6155" max="6157" width="3.625" style="4" bestFit="1" customWidth="1"/>
    <col min="6158" max="6158" width="9.125" style="4" customWidth="1"/>
    <col min="6159" max="6159" width="24.625" style="4" customWidth="1"/>
    <col min="6160" max="6161" width="9.125" style="4" customWidth="1"/>
    <col min="6162" max="6400" width="9" style="4"/>
    <col min="6401" max="6401" width="24.625" style="4" customWidth="1"/>
    <col min="6402" max="6402" width="5.125" style="4" bestFit="1" customWidth="1"/>
    <col min="6403" max="6403" width="5.125" style="4" customWidth="1"/>
    <col min="6404" max="6405" width="5.25" style="4" customWidth="1"/>
    <col min="6406" max="6406" width="9.125" style="4" customWidth="1"/>
    <col min="6407" max="6410" width="5.125" style="4" customWidth="1"/>
    <col min="6411" max="6413" width="3.625" style="4" bestFit="1" customWidth="1"/>
    <col min="6414" max="6414" width="9.125" style="4" customWidth="1"/>
    <col min="6415" max="6415" width="24.625" style="4" customWidth="1"/>
    <col min="6416" max="6417" width="9.125" style="4" customWidth="1"/>
    <col min="6418" max="6656" width="9" style="4"/>
    <col min="6657" max="6657" width="24.625" style="4" customWidth="1"/>
    <col min="6658" max="6658" width="5.125" style="4" bestFit="1" customWidth="1"/>
    <col min="6659" max="6659" width="5.125" style="4" customWidth="1"/>
    <col min="6660" max="6661" width="5.25" style="4" customWidth="1"/>
    <col min="6662" max="6662" width="9.125" style="4" customWidth="1"/>
    <col min="6663" max="6666" width="5.125" style="4" customWidth="1"/>
    <col min="6667" max="6669" width="3.625" style="4" bestFit="1" customWidth="1"/>
    <col min="6670" max="6670" width="9.125" style="4" customWidth="1"/>
    <col min="6671" max="6671" width="24.625" style="4" customWidth="1"/>
    <col min="6672" max="6673" width="9.125" style="4" customWidth="1"/>
    <col min="6674" max="6912" width="9" style="4"/>
    <col min="6913" max="6913" width="24.625" style="4" customWidth="1"/>
    <col min="6914" max="6914" width="5.125" style="4" bestFit="1" customWidth="1"/>
    <col min="6915" max="6915" width="5.125" style="4" customWidth="1"/>
    <col min="6916" max="6917" width="5.25" style="4" customWidth="1"/>
    <col min="6918" max="6918" width="9.125" style="4" customWidth="1"/>
    <col min="6919" max="6922" width="5.125" style="4" customWidth="1"/>
    <col min="6923" max="6925" width="3.625" style="4" bestFit="1" customWidth="1"/>
    <col min="6926" max="6926" width="9.125" style="4" customWidth="1"/>
    <col min="6927" max="6927" width="24.625" style="4" customWidth="1"/>
    <col min="6928" max="6929" width="9.125" style="4" customWidth="1"/>
    <col min="6930" max="7168" width="9" style="4"/>
    <col min="7169" max="7169" width="24.625" style="4" customWidth="1"/>
    <col min="7170" max="7170" width="5.125" style="4" bestFit="1" customWidth="1"/>
    <col min="7171" max="7171" width="5.125" style="4" customWidth="1"/>
    <col min="7172" max="7173" width="5.25" style="4" customWidth="1"/>
    <col min="7174" max="7174" width="9.125" style="4" customWidth="1"/>
    <col min="7175" max="7178" width="5.125" style="4" customWidth="1"/>
    <col min="7179" max="7181" width="3.625" style="4" bestFit="1" customWidth="1"/>
    <col min="7182" max="7182" width="9.125" style="4" customWidth="1"/>
    <col min="7183" max="7183" width="24.625" style="4" customWidth="1"/>
    <col min="7184" max="7185" width="9.125" style="4" customWidth="1"/>
    <col min="7186" max="7424" width="9" style="4"/>
    <col min="7425" max="7425" width="24.625" style="4" customWidth="1"/>
    <col min="7426" max="7426" width="5.125" style="4" bestFit="1" customWidth="1"/>
    <col min="7427" max="7427" width="5.125" style="4" customWidth="1"/>
    <col min="7428" max="7429" width="5.25" style="4" customWidth="1"/>
    <col min="7430" max="7430" width="9.125" style="4" customWidth="1"/>
    <col min="7431" max="7434" width="5.125" style="4" customWidth="1"/>
    <col min="7435" max="7437" width="3.625" style="4" bestFit="1" customWidth="1"/>
    <col min="7438" max="7438" width="9.125" style="4" customWidth="1"/>
    <col min="7439" max="7439" width="24.625" style="4" customWidth="1"/>
    <col min="7440" max="7441" width="9.125" style="4" customWidth="1"/>
    <col min="7442" max="7680" width="9" style="4"/>
    <col min="7681" max="7681" width="24.625" style="4" customWidth="1"/>
    <col min="7682" max="7682" width="5.125" style="4" bestFit="1" customWidth="1"/>
    <col min="7683" max="7683" width="5.125" style="4" customWidth="1"/>
    <col min="7684" max="7685" width="5.25" style="4" customWidth="1"/>
    <col min="7686" max="7686" width="9.125" style="4" customWidth="1"/>
    <col min="7687" max="7690" width="5.125" style="4" customWidth="1"/>
    <col min="7691" max="7693" width="3.625" style="4" bestFit="1" customWidth="1"/>
    <col min="7694" max="7694" width="9.125" style="4" customWidth="1"/>
    <col min="7695" max="7695" width="24.625" style="4" customWidth="1"/>
    <col min="7696" max="7697" width="9.125" style="4" customWidth="1"/>
    <col min="7698" max="7936" width="9" style="4"/>
    <col min="7937" max="7937" width="24.625" style="4" customWidth="1"/>
    <col min="7938" max="7938" width="5.125" style="4" bestFit="1" customWidth="1"/>
    <col min="7939" max="7939" width="5.125" style="4" customWidth="1"/>
    <col min="7940" max="7941" width="5.25" style="4" customWidth="1"/>
    <col min="7942" max="7942" width="9.125" style="4" customWidth="1"/>
    <col min="7943" max="7946" width="5.125" style="4" customWidth="1"/>
    <col min="7947" max="7949" width="3.625" style="4" bestFit="1" customWidth="1"/>
    <col min="7950" max="7950" width="9.125" style="4" customWidth="1"/>
    <col min="7951" max="7951" width="24.625" style="4" customWidth="1"/>
    <col min="7952" max="7953" width="9.125" style="4" customWidth="1"/>
    <col min="7954" max="8192" width="9" style="4"/>
    <col min="8193" max="8193" width="24.625" style="4" customWidth="1"/>
    <col min="8194" max="8194" width="5.125" style="4" bestFit="1" customWidth="1"/>
    <col min="8195" max="8195" width="5.125" style="4" customWidth="1"/>
    <col min="8196" max="8197" width="5.25" style="4" customWidth="1"/>
    <col min="8198" max="8198" width="9.125" style="4" customWidth="1"/>
    <col min="8199" max="8202" width="5.125" style="4" customWidth="1"/>
    <col min="8203" max="8205" width="3.625" style="4" bestFit="1" customWidth="1"/>
    <col min="8206" max="8206" width="9.125" style="4" customWidth="1"/>
    <col min="8207" max="8207" width="24.625" style="4" customWidth="1"/>
    <col min="8208" max="8209" width="9.125" style="4" customWidth="1"/>
    <col min="8210" max="8448" width="9" style="4"/>
    <col min="8449" max="8449" width="24.625" style="4" customWidth="1"/>
    <col min="8450" max="8450" width="5.125" style="4" bestFit="1" customWidth="1"/>
    <col min="8451" max="8451" width="5.125" style="4" customWidth="1"/>
    <col min="8452" max="8453" width="5.25" style="4" customWidth="1"/>
    <col min="8454" max="8454" width="9.125" style="4" customWidth="1"/>
    <col min="8455" max="8458" width="5.125" style="4" customWidth="1"/>
    <col min="8459" max="8461" width="3.625" style="4" bestFit="1" customWidth="1"/>
    <col min="8462" max="8462" width="9.125" style="4" customWidth="1"/>
    <col min="8463" max="8463" width="24.625" style="4" customWidth="1"/>
    <col min="8464" max="8465" width="9.125" style="4" customWidth="1"/>
    <col min="8466" max="8704" width="9" style="4"/>
    <col min="8705" max="8705" width="24.625" style="4" customWidth="1"/>
    <col min="8706" max="8706" width="5.125" style="4" bestFit="1" customWidth="1"/>
    <col min="8707" max="8707" width="5.125" style="4" customWidth="1"/>
    <col min="8708" max="8709" width="5.25" style="4" customWidth="1"/>
    <col min="8710" max="8710" width="9.125" style="4" customWidth="1"/>
    <col min="8711" max="8714" width="5.125" style="4" customWidth="1"/>
    <col min="8715" max="8717" width="3.625" style="4" bestFit="1" customWidth="1"/>
    <col min="8718" max="8718" width="9.125" style="4" customWidth="1"/>
    <col min="8719" max="8719" width="24.625" style="4" customWidth="1"/>
    <col min="8720" max="8721" width="9.125" style="4" customWidth="1"/>
    <col min="8722" max="8960" width="9" style="4"/>
    <col min="8961" max="8961" width="24.625" style="4" customWidth="1"/>
    <col min="8962" max="8962" width="5.125" style="4" bestFit="1" customWidth="1"/>
    <col min="8963" max="8963" width="5.125" style="4" customWidth="1"/>
    <col min="8964" max="8965" width="5.25" style="4" customWidth="1"/>
    <col min="8966" max="8966" width="9.125" style="4" customWidth="1"/>
    <col min="8967" max="8970" width="5.125" style="4" customWidth="1"/>
    <col min="8971" max="8973" width="3.625" style="4" bestFit="1" customWidth="1"/>
    <col min="8974" max="8974" width="9.125" style="4" customWidth="1"/>
    <col min="8975" max="8975" width="24.625" style="4" customWidth="1"/>
    <col min="8976" max="8977" width="9.125" style="4" customWidth="1"/>
    <col min="8978" max="9216" width="9" style="4"/>
    <col min="9217" max="9217" width="24.625" style="4" customWidth="1"/>
    <col min="9218" max="9218" width="5.125" style="4" bestFit="1" customWidth="1"/>
    <col min="9219" max="9219" width="5.125" style="4" customWidth="1"/>
    <col min="9220" max="9221" width="5.25" style="4" customWidth="1"/>
    <col min="9222" max="9222" width="9.125" style="4" customWidth="1"/>
    <col min="9223" max="9226" width="5.125" style="4" customWidth="1"/>
    <col min="9227" max="9229" width="3.625" style="4" bestFit="1" customWidth="1"/>
    <col min="9230" max="9230" width="9.125" style="4" customWidth="1"/>
    <col min="9231" max="9231" width="24.625" style="4" customWidth="1"/>
    <col min="9232" max="9233" width="9.125" style="4" customWidth="1"/>
    <col min="9234" max="9472" width="9" style="4"/>
    <col min="9473" max="9473" width="24.625" style="4" customWidth="1"/>
    <col min="9474" max="9474" width="5.125" style="4" bestFit="1" customWidth="1"/>
    <col min="9475" max="9475" width="5.125" style="4" customWidth="1"/>
    <col min="9476" max="9477" width="5.25" style="4" customWidth="1"/>
    <col min="9478" max="9478" width="9.125" style="4" customWidth="1"/>
    <col min="9479" max="9482" width="5.125" style="4" customWidth="1"/>
    <col min="9483" max="9485" width="3.625" style="4" bestFit="1" customWidth="1"/>
    <col min="9486" max="9486" width="9.125" style="4" customWidth="1"/>
    <col min="9487" max="9487" width="24.625" style="4" customWidth="1"/>
    <col min="9488" max="9489" width="9.125" style="4" customWidth="1"/>
    <col min="9490" max="9728" width="9" style="4"/>
    <col min="9729" max="9729" width="24.625" style="4" customWidth="1"/>
    <col min="9730" max="9730" width="5.125" style="4" bestFit="1" customWidth="1"/>
    <col min="9731" max="9731" width="5.125" style="4" customWidth="1"/>
    <col min="9732" max="9733" width="5.25" style="4" customWidth="1"/>
    <col min="9734" max="9734" width="9.125" style="4" customWidth="1"/>
    <col min="9735" max="9738" width="5.125" style="4" customWidth="1"/>
    <col min="9739" max="9741" width="3.625" style="4" bestFit="1" customWidth="1"/>
    <col min="9742" max="9742" width="9.125" style="4" customWidth="1"/>
    <col min="9743" max="9743" width="24.625" style="4" customWidth="1"/>
    <col min="9744" max="9745" width="9.125" style="4" customWidth="1"/>
    <col min="9746" max="9984" width="9" style="4"/>
    <col min="9985" max="9985" width="24.625" style="4" customWidth="1"/>
    <col min="9986" max="9986" width="5.125" style="4" bestFit="1" customWidth="1"/>
    <col min="9987" max="9987" width="5.125" style="4" customWidth="1"/>
    <col min="9988" max="9989" width="5.25" style="4" customWidth="1"/>
    <col min="9990" max="9990" width="9.125" style="4" customWidth="1"/>
    <col min="9991" max="9994" width="5.125" style="4" customWidth="1"/>
    <col min="9995" max="9997" width="3.625" style="4" bestFit="1" customWidth="1"/>
    <col min="9998" max="9998" width="9.125" style="4" customWidth="1"/>
    <col min="9999" max="9999" width="24.625" style="4" customWidth="1"/>
    <col min="10000" max="10001" width="9.125" style="4" customWidth="1"/>
    <col min="10002" max="10240" width="9" style="4"/>
    <col min="10241" max="10241" width="24.625" style="4" customWidth="1"/>
    <col min="10242" max="10242" width="5.125" style="4" bestFit="1" customWidth="1"/>
    <col min="10243" max="10243" width="5.125" style="4" customWidth="1"/>
    <col min="10244" max="10245" width="5.25" style="4" customWidth="1"/>
    <col min="10246" max="10246" width="9.125" style="4" customWidth="1"/>
    <col min="10247" max="10250" width="5.125" style="4" customWidth="1"/>
    <col min="10251" max="10253" width="3.625" style="4" bestFit="1" customWidth="1"/>
    <col min="10254" max="10254" width="9.125" style="4" customWidth="1"/>
    <col min="10255" max="10255" width="24.625" style="4" customWidth="1"/>
    <col min="10256" max="10257" width="9.125" style="4" customWidth="1"/>
    <col min="10258" max="10496" width="9" style="4"/>
    <col min="10497" max="10497" width="24.625" style="4" customWidth="1"/>
    <col min="10498" max="10498" width="5.125" style="4" bestFit="1" customWidth="1"/>
    <col min="10499" max="10499" width="5.125" style="4" customWidth="1"/>
    <col min="10500" max="10501" width="5.25" style="4" customWidth="1"/>
    <col min="10502" max="10502" width="9.125" style="4" customWidth="1"/>
    <col min="10503" max="10506" width="5.125" style="4" customWidth="1"/>
    <col min="10507" max="10509" width="3.625" style="4" bestFit="1" customWidth="1"/>
    <col min="10510" max="10510" width="9.125" style="4" customWidth="1"/>
    <col min="10511" max="10511" width="24.625" style="4" customWidth="1"/>
    <col min="10512" max="10513" width="9.125" style="4" customWidth="1"/>
    <col min="10514" max="10752" width="9" style="4"/>
    <col min="10753" max="10753" width="24.625" style="4" customWidth="1"/>
    <col min="10754" max="10754" width="5.125" style="4" bestFit="1" customWidth="1"/>
    <col min="10755" max="10755" width="5.125" style="4" customWidth="1"/>
    <col min="10756" max="10757" width="5.25" style="4" customWidth="1"/>
    <col min="10758" max="10758" width="9.125" style="4" customWidth="1"/>
    <col min="10759" max="10762" width="5.125" style="4" customWidth="1"/>
    <col min="10763" max="10765" width="3.625" style="4" bestFit="1" customWidth="1"/>
    <col min="10766" max="10766" width="9.125" style="4" customWidth="1"/>
    <col min="10767" max="10767" width="24.625" style="4" customWidth="1"/>
    <col min="10768" max="10769" width="9.125" style="4" customWidth="1"/>
    <col min="10770" max="11008" width="9" style="4"/>
    <col min="11009" max="11009" width="24.625" style="4" customWidth="1"/>
    <col min="11010" max="11010" width="5.125" style="4" bestFit="1" customWidth="1"/>
    <col min="11011" max="11011" width="5.125" style="4" customWidth="1"/>
    <col min="11012" max="11013" width="5.25" style="4" customWidth="1"/>
    <col min="11014" max="11014" width="9.125" style="4" customWidth="1"/>
    <col min="11015" max="11018" width="5.125" style="4" customWidth="1"/>
    <col min="11019" max="11021" width="3.625" style="4" bestFit="1" customWidth="1"/>
    <col min="11022" max="11022" width="9.125" style="4" customWidth="1"/>
    <col min="11023" max="11023" width="24.625" style="4" customWidth="1"/>
    <col min="11024" max="11025" width="9.125" style="4" customWidth="1"/>
    <col min="11026" max="11264" width="9" style="4"/>
    <col min="11265" max="11265" width="24.625" style="4" customWidth="1"/>
    <col min="11266" max="11266" width="5.125" style="4" bestFit="1" customWidth="1"/>
    <col min="11267" max="11267" width="5.125" style="4" customWidth="1"/>
    <col min="11268" max="11269" width="5.25" style="4" customWidth="1"/>
    <col min="11270" max="11270" width="9.125" style="4" customWidth="1"/>
    <col min="11271" max="11274" width="5.125" style="4" customWidth="1"/>
    <col min="11275" max="11277" width="3.625" style="4" bestFit="1" customWidth="1"/>
    <col min="11278" max="11278" width="9.125" style="4" customWidth="1"/>
    <col min="11279" max="11279" width="24.625" style="4" customWidth="1"/>
    <col min="11280" max="11281" width="9.125" style="4" customWidth="1"/>
    <col min="11282" max="11520" width="9" style="4"/>
    <col min="11521" max="11521" width="24.625" style="4" customWidth="1"/>
    <col min="11522" max="11522" width="5.125" style="4" bestFit="1" customWidth="1"/>
    <col min="11523" max="11523" width="5.125" style="4" customWidth="1"/>
    <col min="11524" max="11525" width="5.25" style="4" customWidth="1"/>
    <col min="11526" max="11526" width="9.125" style="4" customWidth="1"/>
    <col min="11527" max="11530" width="5.125" style="4" customWidth="1"/>
    <col min="11531" max="11533" width="3.625" style="4" bestFit="1" customWidth="1"/>
    <col min="11534" max="11534" width="9.125" style="4" customWidth="1"/>
    <col min="11535" max="11535" width="24.625" style="4" customWidth="1"/>
    <col min="11536" max="11537" width="9.125" style="4" customWidth="1"/>
    <col min="11538" max="11776" width="9" style="4"/>
    <col min="11777" max="11777" width="24.625" style="4" customWidth="1"/>
    <col min="11778" max="11778" width="5.125" style="4" bestFit="1" customWidth="1"/>
    <col min="11779" max="11779" width="5.125" style="4" customWidth="1"/>
    <col min="11780" max="11781" width="5.25" style="4" customWidth="1"/>
    <col min="11782" max="11782" width="9.125" style="4" customWidth="1"/>
    <col min="11783" max="11786" width="5.125" style="4" customWidth="1"/>
    <col min="11787" max="11789" width="3.625" style="4" bestFit="1" customWidth="1"/>
    <col min="11790" max="11790" width="9.125" style="4" customWidth="1"/>
    <col min="11791" max="11791" width="24.625" style="4" customWidth="1"/>
    <col min="11792" max="11793" width="9.125" style="4" customWidth="1"/>
    <col min="11794" max="12032" width="9" style="4"/>
    <col min="12033" max="12033" width="24.625" style="4" customWidth="1"/>
    <col min="12034" max="12034" width="5.125" style="4" bestFit="1" customWidth="1"/>
    <col min="12035" max="12035" width="5.125" style="4" customWidth="1"/>
    <col min="12036" max="12037" width="5.25" style="4" customWidth="1"/>
    <col min="12038" max="12038" width="9.125" style="4" customWidth="1"/>
    <col min="12039" max="12042" width="5.125" style="4" customWidth="1"/>
    <col min="12043" max="12045" width="3.625" style="4" bestFit="1" customWidth="1"/>
    <col min="12046" max="12046" width="9.125" style="4" customWidth="1"/>
    <col min="12047" max="12047" width="24.625" style="4" customWidth="1"/>
    <col min="12048" max="12049" width="9.125" style="4" customWidth="1"/>
    <col min="12050" max="12288" width="9" style="4"/>
    <col min="12289" max="12289" width="24.625" style="4" customWidth="1"/>
    <col min="12290" max="12290" width="5.125" style="4" bestFit="1" customWidth="1"/>
    <col min="12291" max="12291" width="5.125" style="4" customWidth="1"/>
    <col min="12292" max="12293" width="5.25" style="4" customWidth="1"/>
    <col min="12294" max="12294" width="9.125" style="4" customWidth="1"/>
    <col min="12295" max="12298" width="5.125" style="4" customWidth="1"/>
    <col min="12299" max="12301" width="3.625" style="4" bestFit="1" customWidth="1"/>
    <col min="12302" max="12302" width="9.125" style="4" customWidth="1"/>
    <col min="12303" max="12303" width="24.625" style="4" customWidth="1"/>
    <col min="12304" max="12305" width="9.125" style="4" customWidth="1"/>
    <col min="12306" max="12544" width="9" style="4"/>
    <col min="12545" max="12545" width="24.625" style="4" customWidth="1"/>
    <col min="12546" max="12546" width="5.125" style="4" bestFit="1" customWidth="1"/>
    <col min="12547" max="12547" width="5.125" style="4" customWidth="1"/>
    <col min="12548" max="12549" width="5.25" style="4" customWidth="1"/>
    <col min="12550" max="12550" width="9.125" style="4" customWidth="1"/>
    <col min="12551" max="12554" width="5.125" style="4" customWidth="1"/>
    <col min="12555" max="12557" width="3.625" style="4" bestFit="1" customWidth="1"/>
    <col min="12558" max="12558" width="9.125" style="4" customWidth="1"/>
    <col min="12559" max="12559" width="24.625" style="4" customWidth="1"/>
    <col min="12560" max="12561" width="9.125" style="4" customWidth="1"/>
    <col min="12562" max="12800" width="9" style="4"/>
    <col min="12801" max="12801" width="24.625" style="4" customWidth="1"/>
    <col min="12802" max="12802" width="5.125" style="4" bestFit="1" customWidth="1"/>
    <col min="12803" max="12803" width="5.125" style="4" customWidth="1"/>
    <col min="12804" max="12805" width="5.25" style="4" customWidth="1"/>
    <col min="12806" max="12806" width="9.125" style="4" customWidth="1"/>
    <col min="12807" max="12810" width="5.125" style="4" customWidth="1"/>
    <col min="12811" max="12813" width="3.625" style="4" bestFit="1" customWidth="1"/>
    <col min="12814" max="12814" width="9.125" style="4" customWidth="1"/>
    <col min="12815" max="12815" width="24.625" style="4" customWidth="1"/>
    <col min="12816" max="12817" width="9.125" style="4" customWidth="1"/>
    <col min="12818" max="13056" width="9" style="4"/>
    <col min="13057" max="13057" width="24.625" style="4" customWidth="1"/>
    <col min="13058" max="13058" width="5.125" style="4" bestFit="1" customWidth="1"/>
    <col min="13059" max="13059" width="5.125" style="4" customWidth="1"/>
    <col min="13060" max="13061" width="5.25" style="4" customWidth="1"/>
    <col min="13062" max="13062" width="9.125" style="4" customWidth="1"/>
    <col min="13063" max="13066" width="5.125" style="4" customWidth="1"/>
    <col min="13067" max="13069" width="3.625" style="4" bestFit="1" customWidth="1"/>
    <col min="13070" max="13070" width="9.125" style="4" customWidth="1"/>
    <col min="13071" max="13071" width="24.625" style="4" customWidth="1"/>
    <col min="13072" max="13073" width="9.125" style="4" customWidth="1"/>
    <col min="13074" max="13312" width="9" style="4"/>
    <col min="13313" max="13313" width="24.625" style="4" customWidth="1"/>
    <col min="13314" max="13314" width="5.125" style="4" bestFit="1" customWidth="1"/>
    <col min="13315" max="13315" width="5.125" style="4" customWidth="1"/>
    <col min="13316" max="13317" width="5.25" style="4" customWidth="1"/>
    <col min="13318" max="13318" width="9.125" style="4" customWidth="1"/>
    <col min="13319" max="13322" width="5.125" style="4" customWidth="1"/>
    <col min="13323" max="13325" width="3.625" style="4" bestFit="1" customWidth="1"/>
    <col min="13326" max="13326" width="9.125" style="4" customWidth="1"/>
    <col min="13327" max="13327" width="24.625" style="4" customWidth="1"/>
    <col min="13328" max="13329" width="9.125" style="4" customWidth="1"/>
    <col min="13330" max="13568" width="9" style="4"/>
    <col min="13569" max="13569" width="24.625" style="4" customWidth="1"/>
    <col min="13570" max="13570" width="5.125" style="4" bestFit="1" customWidth="1"/>
    <col min="13571" max="13571" width="5.125" style="4" customWidth="1"/>
    <col min="13572" max="13573" width="5.25" style="4" customWidth="1"/>
    <col min="13574" max="13574" width="9.125" style="4" customWidth="1"/>
    <col min="13575" max="13578" width="5.125" style="4" customWidth="1"/>
    <col min="13579" max="13581" width="3.625" style="4" bestFit="1" customWidth="1"/>
    <col min="13582" max="13582" width="9.125" style="4" customWidth="1"/>
    <col min="13583" max="13583" width="24.625" style="4" customWidth="1"/>
    <col min="13584" max="13585" width="9.125" style="4" customWidth="1"/>
    <col min="13586" max="13824" width="9" style="4"/>
    <col min="13825" max="13825" width="24.625" style="4" customWidth="1"/>
    <col min="13826" max="13826" width="5.125" style="4" bestFit="1" customWidth="1"/>
    <col min="13827" max="13827" width="5.125" style="4" customWidth="1"/>
    <col min="13828" max="13829" width="5.25" style="4" customWidth="1"/>
    <col min="13830" max="13830" width="9.125" style="4" customWidth="1"/>
    <col min="13831" max="13834" width="5.125" style="4" customWidth="1"/>
    <col min="13835" max="13837" width="3.625" style="4" bestFit="1" customWidth="1"/>
    <col min="13838" max="13838" width="9.125" style="4" customWidth="1"/>
    <col min="13839" max="13839" width="24.625" style="4" customWidth="1"/>
    <col min="13840" max="13841" width="9.125" style="4" customWidth="1"/>
    <col min="13842" max="14080" width="9" style="4"/>
    <col min="14081" max="14081" width="24.625" style="4" customWidth="1"/>
    <col min="14082" max="14082" width="5.125" style="4" bestFit="1" customWidth="1"/>
    <col min="14083" max="14083" width="5.125" style="4" customWidth="1"/>
    <col min="14084" max="14085" width="5.25" style="4" customWidth="1"/>
    <col min="14086" max="14086" width="9.125" style="4" customWidth="1"/>
    <col min="14087" max="14090" width="5.125" style="4" customWidth="1"/>
    <col min="14091" max="14093" width="3.625" style="4" bestFit="1" customWidth="1"/>
    <col min="14094" max="14094" width="9.125" style="4" customWidth="1"/>
    <col min="14095" max="14095" width="24.625" style="4" customWidth="1"/>
    <col min="14096" max="14097" width="9.125" style="4" customWidth="1"/>
    <col min="14098" max="14336" width="9" style="4"/>
    <col min="14337" max="14337" width="24.625" style="4" customWidth="1"/>
    <col min="14338" max="14338" width="5.125" style="4" bestFit="1" customWidth="1"/>
    <col min="14339" max="14339" width="5.125" style="4" customWidth="1"/>
    <col min="14340" max="14341" width="5.25" style="4" customWidth="1"/>
    <col min="14342" max="14342" width="9.125" style="4" customWidth="1"/>
    <col min="14343" max="14346" width="5.125" style="4" customWidth="1"/>
    <col min="14347" max="14349" width="3.625" style="4" bestFit="1" customWidth="1"/>
    <col min="14350" max="14350" width="9.125" style="4" customWidth="1"/>
    <col min="14351" max="14351" width="24.625" style="4" customWidth="1"/>
    <col min="14352" max="14353" width="9.125" style="4" customWidth="1"/>
    <col min="14354" max="14592" width="9" style="4"/>
    <col min="14593" max="14593" width="24.625" style="4" customWidth="1"/>
    <col min="14594" max="14594" width="5.125" style="4" bestFit="1" customWidth="1"/>
    <col min="14595" max="14595" width="5.125" style="4" customWidth="1"/>
    <col min="14596" max="14597" width="5.25" style="4" customWidth="1"/>
    <col min="14598" max="14598" width="9.125" style="4" customWidth="1"/>
    <col min="14599" max="14602" width="5.125" style="4" customWidth="1"/>
    <col min="14603" max="14605" width="3.625" style="4" bestFit="1" customWidth="1"/>
    <col min="14606" max="14606" width="9.125" style="4" customWidth="1"/>
    <col min="14607" max="14607" width="24.625" style="4" customWidth="1"/>
    <col min="14608" max="14609" width="9.125" style="4" customWidth="1"/>
    <col min="14610" max="14848" width="9" style="4"/>
    <col min="14849" max="14849" width="24.625" style="4" customWidth="1"/>
    <col min="14850" max="14850" width="5.125" style="4" bestFit="1" customWidth="1"/>
    <col min="14851" max="14851" width="5.125" style="4" customWidth="1"/>
    <col min="14852" max="14853" width="5.25" style="4" customWidth="1"/>
    <col min="14854" max="14854" width="9.125" style="4" customWidth="1"/>
    <col min="14855" max="14858" width="5.125" style="4" customWidth="1"/>
    <col min="14859" max="14861" width="3.625" style="4" bestFit="1" customWidth="1"/>
    <col min="14862" max="14862" width="9.125" style="4" customWidth="1"/>
    <col min="14863" max="14863" width="24.625" style="4" customWidth="1"/>
    <col min="14864" max="14865" width="9.125" style="4" customWidth="1"/>
    <col min="14866" max="15104" width="9" style="4"/>
    <col min="15105" max="15105" width="24.625" style="4" customWidth="1"/>
    <col min="15106" max="15106" width="5.125" style="4" bestFit="1" customWidth="1"/>
    <col min="15107" max="15107" width="5.125" style="4" customWidth="1"/>
    <col min="15108" max="15109" width="5.25" style="4" customWidth="1"/>
    <col min="15110" max="15110" width="9.125" style="4" customWidth="1"/>
    <col min="15111" max="15114" width="5.125" style="4" customWidth="1"/>
    <col min="15115" max="15117" width="3.625" style="4" bestFit="1" customWidth="1"/>
    <col min="15118" max="15118" width="9.125" style="4" customWidth="1"/>
    <col min="15119" max="15119" width="24.625" style="4" customWidth="1"/>
    <col min="15120" max="15121" width="9.125" style="4" customWidth="1"/>
    <col min="15122" max="15360" width="9" style="4"/>
    <col min="15361" max="15361" width="24.625" style="4" customWidth="1"/>
    <col min="15362" max="15362" width="5.125" style="4" bestFit="1" customWidth="1"/>
    <col min="15363" max="15363" width="5.125" style="4" customWidth="1"/>
    <col min="15364" max="15365" width="5.25" style="4" customWidth="1"/>
    <col min="15366" max="15366" width="9.125" style="4" customWidth="1"/>
    <col min="15367" max="15370" width="5.125" style="4" customWidth="1"/>
    <col min="15371" max="15373" width="3.625" style="4" bestFit="1" customWidth="1"/>
    <col min="15374" max="15374" width="9.125" style="4" customWidth="1"/>
    <col min="15375" max="15375" width="24.625" style="4" customWidth="1"/>
    <col min="15376" max="15377" width="9.125" style="4" customWidth="1"/>
    <col min="15378" max="15616" width="9" style="4"/>
    <col min="15617" max="15617" width="24.625" style="4" customWidth="1"/>
    <col min="15618" max="15618" width="5.125" style="4" bestFit="1" customWidth="1"/>
    <col min="15619" max="15619" width="5.125" style="4" customWidth="1"/>
    <col min="15620" max="15621" width="5.25" style="4" customWidth="1"/>
    <col min="15622" max="15622" width="9.125" style="4" customWidth="1"/>
    <col min="15623" max="15626" width="5.125" style="4" customWidth="1"/>
    <col min="15627" max="15629" width="3.625" style="4" bestFit="1" customWidth="1"/>
    <col min="15630" max="15630" width="9.125" style="4" customWidth="1"/>
    <col min="15631" max="15631" width="24.625" style="4" customWidth="1"/>
    <col min="15632" max="15633" width="9.125" style="4" customWidth="1"/>
    <col min="15634" max="15872" width="9" style="4"/>
    <col min="15873" max="15873" width="24.625" style="4" customWidth="1"/>
    <col min="15874" max="15874" width="5.125" style="4" bestFit="1" customWidth="1"/>
    <col min="15875" max="15875" width="5.125" style="4" customWidth="1"/>
    <col min="15876" max="15877" width="5.25" style="4" customWidth="1"/>
    <col min="15878" max="15878" width="9.125" style="4" customWidth="1"/>
    <col min="15879" max="15882" width="5.125" style="4" customWidth="1"/>
    <col min="15883" max="15885" width="3.625" style="4" bestFit="1" customWidth="1"/>
    <col min="15886" max="15886" width="9.125" style="4" customWidth="1"/>
    <col min="15887" max="15887" width="24.625" style="4" customWidth="1"/>
    <col min="15888" max="15889" width="9.125" style="4" customWidth="1"/>
    <col min="15890" max="16128" width="9" style="4"/>
    <col min="16129" max="16129" width="24.625" style="4" customWidth="1"/>
    <col min="16130" max="16130" width="5.125" style="4" bestFit="1" customWidth="1"/>
    <col min="16131" max="16131" width="5.125" style="4" customWidth="1"/>
    <col min="16132" max="16133" width="5.25" style="4" customWidth="1"/>
    <col min="16134" max="16134" width="9.125" style="4" customWidth="1"/>
    <col min="16135" max="16138" width="5.125" style="4" customWidth="1"/>
    <col min="16139" max="16141" width="3.625" style="4" bestFit="1" customWidth="1"/>
    <col min="16142" max="16142" width="9.125" style="4" customWidth="1"/>
    <col min="16143" max="16143" width="24.625" style="4" customWidth="1"/>
    <col min="16144" max="16145" width="9.125" style="4" customWidth="1"/>
    <col min="16146" max="16384" width="9" style="4"/>
  </cols>
  <sheetData>
    <row r="1" spans="1:17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4" t="s">
        <v>15</v>
      </c>
      <c r="Q1" s="5" t="s">
        <v>16</v>
      </c>
    </row>
    <row r="2" spans="1:17" ht="15" customHeight="1" x14ac:dyDescent="0.15">
      <c r="A2" s="1" t="s">
        <v>284</v>
      </c>
      <c r="B2" s="2">
        <v>277</v>
      </c>
      <c r="C2" s="2">
        <v>78</v>
      </c>
      <c r="D2" s="2">
        <v>78</v>
      </c>
      <c r="E2" s="2">
        <v>68</v>
      </c>
      <c r="F2" s="2">
        <v>119</v>
      </c>
      <c r="G2" s="2">
        <v>68</v>
      </c>
      <c r="H2" s="2"/>
      <c r="I2" s="2"/>
      <c r="J2" s="2"/>
      <c r="K2" s="2"/>
      <c r="L2" s="2"/>
      <c r="M2" s="2"/>
      <c r="N2" s="3"/>
      <c r="O2" s="1" t="s">
        <v>59</v>
      </c>
      <c r="P2" s="4">
        <f t="shared" ref="P2:P7" si="0">D2*0.22+E2*0.59+F2*1+G2*0.98+H2*0.76</f>
        <v>242.92000000000002</v>
      </c>
      <c r="Q2" s="4">
        <f t="shared" ref="Q2:Q7" si="1">P2+I2*1.88</f>
        <v>242.92000000000002</v>
      </c>
    </row>
    <row r="3" spans="1:17" ht="15" customHeight="1" x14ac:dyDescent="0.15">
      <c r="A3" s="1" t="s">
        <v>285</v>
      </c>
      <c r="B3" s="2">
        <v>277</v>
      </c>
      <c r="C3" s="2">
        <v>78</v>
      </c>
      <c r="D3" s="2">
        <v>78</v>
      </c>
      <c r="E3" s="2"/>
      <c r="F3" s="2">
        <v>119</v>
      </c>
      <c r="G3" s="2">
        <v>68</v>
      </c>
      <c r="H3" s="2">
        <v>68</v>
      </c>
      <c r="I3" s="2"/>
      <c r="J3" s="2"/>
      <c r="K3" s="2"/>
      <c r="L3" s="2"/>
      <c r="M3" s="2"/>
      <c r="N3" s="3"/>
      <c r="O3" s="1" t="s">
        <v>61</v>
      </c>
      <c r="P3" s="4">
        <f t="shared" si="0"/>
        <v>254.48000000000002</v>
      </c>
      <c r="Q3" s="4">
        <f t="shared" si="1"/>
        <v>254.48000000000002</v>
      </c>
    </row>
    <row r="4" spans="1:17" ht="15" customHeight="1" x14ac:dyDescent="0.15">
      <c r="A4" s="1" t="s">
        <v>286</v>
      </c>
      <c r="B4" s="2">
        <v>264</v>
      </c>
      <c r="C4" s="2">
        <v>69</v>
      </c>
      <c r="D4" s="2">
        <v>69</v>
      </c>
      <c r="E4" s="2"/>
      <c r="F4" s="2">
        <v>97</v>
      </c>
      <c r="G4" s="2"/>
      <c r="H4" s="2">
        <v>45</v>
      </c>
      <c r="I4" s="2">
        <v>65</v>
      </c>
      <c r="J4" s="2"/>
      <c r="K4" s="2">
        <v>1</v>
      </c>
      <c r="L4" s="2"/>
      <c r="M4" s="2"/>
      <c r="N4" s="3" t="s">
        <v>38</v>
      </c>
      <c r="O4" s="1" t="s">
        <v>63</v>
      </c>
      <c r="P4" s="4">
        <f t="shared" si="0"/>
        <v>146.38</v>
      </c>
      <c r="Q4" s="4">
        <f t="shared" si="1"/>
        <v>268.58</v>
      </c>
    </row>
    <row r="5" spans="1:17" ht="15" customHeight="1" x14ac:dyDescent="0.15">
      <c r="A5" s="1" t="s">
        <v>58</v>
      </c>
      <c r="B5" s="2">
        <v>264</v>
      </c>
      <c r="C5" s="2">
        <v>69</v>
      </c>
      <c r="D5" s="2">
        <v>69</v>
      </c>
      <c r="E5" s="2">
        <v>60</v>
      </c>
      <c r="F5" s="2">
        <v>106</v>
      </c>
      <c r="G5" s="2">
        <v>60</v>
      </c>
      <c r="H5" s="2"/>
      <c r="I5" s="2"/>
      <c r="J5" s="2"/>
      <c r="K5" s="2"/>
      <c r="L5" s="2"/>
      <c r="M5" s="2"/>
      <c r="N5" s="3"/>
      <c r="O5" s="1" t="s">
        <v>64</v>
      </c>
      <c r="P5" s="4">
        <f t="shared" si="0"/>
        <v>215.38</v>
      </c>
      <c r="Q5" s="4">
        <f t="shared" si="1"/>
        <v>215.38</v>
      </c>
    </row>
    <row r="6" spans="1:17" ht="15" customHeight="1" x14ac:dyDescent="0.15">
      <c r="A6" s="1" t="s">
        <v>60</v>
      </c>
      <c r="B6" s="2">
        <v>264</v>
      </c>
      <c r="C6" s="2">
        <v>69</v>
      </c>
      <c r="D6" s="2">
        <v>69</v>
      </c>
      <c r="E6" s="2"/>
      <c r="F6" s="2">
        <v>106</v>
      </c>
      <c r="G6" s="2">
        <v>60</v>
      </c>
      <c r="H6" s="2">
        <v>60</v>
      </c>
      <c r="I6" s="2"/>
      <c r="J6" s="2"/>
      <c r="K6" s="2"/>
      <c r="L6" s="2"/>
      <c r="M6" s="2"/>
      <c r="N6" s="3"/>
      <c r="O6" s="1" t="s">
        <v>65</v>
      </c>
      <c r="P6" s="4">
        <f t="shared" si="0"/>
        <v>225.58</v>
      </c>
      <c r="Q6" s="4">
        <f t="shared" si="1"/>
        <v>225.58</v>
      </c>
    </row>
    <row r="7" spans="1:17" ht="15" customHeight="1" x14ac:dyDescent="0.15">
      <c r="A7" s="1" t="s">
        <v>62</v>
      </c>
      <c r="B7" s="2">
        <v>251</v>
      </c>
      <c r="C7" s="2">
        <v>61</v>
      </c>
      <c r="D7" s="2">
        <v>61</v>
      </c>
      <c r="E7" s="2"/>
      <c r="F7" s="2">
        <v>94</v>
      </c>
      <c r="G7" s="2"/>
      <c r="H7" s="2">
        <v>47</v>
      </c>
      <c r="I7" s="2">
        <v>57</v>
      </c>
      <c r="J7" s="2"/>
      <c r="K7" s="2"/>
      <c r="L7" s="2"/>
      <c r="M7" s="2"/>
      <c r="N7" s="3"/>
      <c r="O7" s="1" t="s">
        <v>66</v>
      </c>
      <c r="P7" s="4">
        <f t="shared" si="0"/>
        <v>143.13999999999999</v>
      </c>
      <c r="Q7" s="4">
        <f t="shared" si="1"/>
        <v>250.29999999999998</v>
      </c>
    </row>
    <row r="8" spans="1:17" ht="15" customHeight="1" x14ac:dyDescent="0.15">
      <c r="A8" s="62" t="s">
        <v>710</v>
      </c>
      <c r="B8" s="11">
        <v>270</v>
      </c>
      <c r="C8" s="11">
        <v>109</v>
      </c>
      <c r="D8" s="11">
        <v>48</v>
      </c>
      <c r="E8" s="11">
        <v>63</v>
      </c>
      <c r="F8" s="11">
        <v>111</v>
      </c>
      <c r="G8" s="11"/>
      <c r="H8" s="11"/>
      <c r="I8" s="11"/>
      <c r="J8" s="11"/>
      <c r="K8" s="11"/>
      <c r="L8" s="11"/>
      <c r="M8" s="11"/>
      <c r="N8" s="63"/>
      <c r="O8" s="62" t="s">
        <v>712</v>
      </c>
      <c r="P8" s="64">
        <f t="shared" ref="P8:P17" si="2">D8*0.22+E8*0.59+F8*1+G8*0.98+H8*0.76</f>
        <v>158.72999999999999</v>
      </c>
      <c r="Q8" s="64">
        <f t="shared" ref="Q8:Q17" si="3">P8+I8*1.88</f>
        <v>158.72999999999999</v>
      </c>
    </row>
    <row r="9" spans="1:17" ht="15" customHeight="1" x14ac:dyDescent="0.15">
      <c r="A9" s="62" t="s">
        <v>711</v>
      </c>
      <c r="B9" s="11">
        <v>270</v>
      </c>
      <c r="C9" s="11">
        <v>109</v>
      </c>
      <c r="D9" s="11">
        <v>48</v>
      </c>
      <c r="E9" s="11"/>
      <c r="F9" s="11">
        <v>111</v>
      </c>
      <c r="G9" s="11">
        <v>63</v>
      </c>
      <c r="H9" s="11"/>
      <c r="I9" s="11"/>
      <c r="J9" s="11"/>
      <c r="K9" s="11"/>
      <c r="L9" s="11"/>
      <c r="M9" s="11"/>
      <c r="N9" s="63"/>
      <c r="O9" s="62" t="s">
        <v>712</v>
      </c>
      <c r="P9" s="64">
        <f t="shared" si="2"/>
        <v>183.3</v>
      </c>
      <c r="Q9" s="64">
        <f t="shared" si="3"/>
        <v>183.3</v>
      </c>
    </row>
    <row r="10" spans="1:17" ht="15" customHeight="1" x14ac:dyDescent="0.15">
      <c r="A10" s="62" t="s">
        <v>713</v>
      </c>
      <c r="B10" s="11">
        <v>270</v>
      </c>
      <c r="C10" s="11">
        <v>109</v>
      </c>
      <c r="D10" s="11">
        <v>48</v>
      </c>
      <c r="E10" s="11"/>
      <c r="F10" s="11">
        <v>111</v>
      </c>
      <c r="G10" s="11"/>
      <c r="H10" s="11">
        <v>63</v>
      </c>
      <c r="I10" s="11"/>
      <c r="J10" s="11"/>
      <c r="K10" s="11"/>
      <c r="L10" s="11"/>
      <c r="M10" s="11"/>
      <c r="N10" s="63"/>
      <c r="O10" s="62" t="s">
        <v>714</v>
      </c>
      <c r="P10" s="64">
        <f t="shared" si="2"/>
        <v>169.44</v>
      </c>
      <c r="Q10" s="64">
        <f t="shared" si="3"/>
        <v>169.44</v>
      </c>
    </row>
    <row r="11" spans="1:17" ht="15" customHeight="1" x14ac:dyDescent="0.15">
      <c r="A11" s="62" t="s">
        <v>715</v>
      </c>
      <c r="B11" s="11">
        <v>258</v>
      </c>
      <c r="C11" s="11">
        <v>65</v>
      </c>
      <c r="D11" s="11">
        <v>65</v>
      </c>
      <c r="E11" s="11"/>
      <c r="F11" s="11">
        <v>100</v>
      </c>
      <c r="G11" s="11"/>
      <c r="H11" s="11">
        <v>57</v>
      </c>
      <c r="I11" s="11">
        <v>57</v>
      </c>
      <c r="J11" s="11"/>
      <c r="K11" s="11"/>
      <c r="L11" s="11"/>
      <c r="M11" s="11"/>
      <c r="N11" s="63"/>
      <c r="O11" s="62" t="s">
        <v>716</v>
      </c>
      <c r="P11" s="64">
        <f t="shared" si="2"/>
        <v>157.62</v>
      </c>
      <c r="Q11" s="64">
        <f t="shared" si="3"/>
        <v>264.77999999999997</v>
      </c>
    </row>
    <row r="12" spans="1:17" ht="15" customHeight="1" x14ac:dyDescent="0.15">
      <c r="A12" s="62" t="s">
        <v>717</v>
      </c>
      <c r="B12" s="11">
        <v>258</v>
      </c>
      <c r="C12" s="11">
        <v>65</v>
      </c>
      <c r="D12" s="11">
        <v>65</v>
      </c>
      <c r="E12" s="11">
        <v>57</v>
      </c>
      <c r="F12" s="11">
        <v>100</v>
      </c>
      <c r="G12" s="11"/>
      <c r="H12" s="11">
        <v>57</v>
      </c>
      <c r="I12" s="11"/>
      <c r="J12" s="11"/>
      <c r="K12" s="11"/>
      <c r="L12" s="11"/>
      <c r="M12" s="11"/>
      <c r="N12" s="63"/>
      <c r="O12" s="62" t="s">
        <v>718</v>
      </c>
      <c r="P12" s="64">
        <f t="shared" si="2"/>
        <v>191.25</v>
      </c>
      <c r="Q12" s="64">
        <f t="shared" si="3"/>
        <v>191.25</v>
      </c>
    </row>
    <row r="13" spans="1:17" ht="15" customHeight="1" x14ac:dyDescent="0.15">
      <c r="A13" s="62" t="s">
        <v>719</v>
      </c>
      <c r="B13" s="11">
        <v>245</v>
      </c>
      <c r="C13" s="11">
        <v>58</v>
      </c>
      <c r="D13" s="11">
        <v>58</v>
      </c>
      <c r="E13" s="11"/>
      <c r="F13" s="11">
        <v>89</v>
      </c>
      <c r="G13" s="11"/>
      <c r="H13" s="11">
        <v>50</v>
      </c>
      <c r="I13" s="11">
        <v>50</v>
      </c>
      <c r="J13" s="11"/>
      <c r="K13" s="11"/>
      <c r="L13" s="11"/>
      <c r="M13" s="11"/>
      <c r="N13" s="63"/>
      <c r="O13" s="62" t="s">
        <v>720</v>
      </c>
      <c r="P13" s="64">
        <f t="shared" si="2"/>
        <v>139.76</v>
      </c>
      <c r="Q13" s="64">
        <f t="shared" si="3"/>
        <v>233.76</v>
      </c>
    </row>
    <row r="14" spans="1:17" ht="15" customHeight="1" x14ac:dyDescent="0.15">
      <c r="A14" s="62" t="s">
        <v>721</v>
      </c>
      <c r="B14" s="11">
        <v>245</v>
      </c>
      <c r="C14" s="11">
        <v>58</v>
      </c>
      <c r="D14" s="11">
        <v>58</v>
      </c>
      <c r="E14" s="11">
        <v>50</v>
      </c>
      <c r="F14" s="11">
        <v>89</v>
      </c>
      <c r="G14" s="11"/>
      <c r="H14" s="11">
        <v>50</v>
      </c>
      <c r="I14" s="11"/>
      <c r="J14" s="11"/>
      <c r="K14" s="11"/>
      <c r="L14" s="11"/>
      <c r="M14" s="11"/>
      <c r="N14" s="63"/>
      <c r="O14" s="62" t="s">
        <v>722</v>
      </c>
      <c r="P14" s="64">
        <f t="shared" si="2"/>
        <v>169.26</v>
      </c>
      <c r="Q14" s="64">
        <f t="shared" si="3"/>
        <v>169.26</v>
      </c>
    </row>
    <row r="15" spans="1:17" ht="15" customHeight="1" x14ac:dyDescent="0.15">
      <c r="A15" s="62" t="s">
        <v>723</v>
      </c>
      <c r="B15" s="11">
        <v>245</v>
      </c>
      <c r="C15" s="11">
        <v>58</v>
      </c>
      <c r="D15" s="11">
        <v>58</v>
      </c>
      <c r="E15" s="11"/>
      <c r="F15" s="11">
        <v>80</v>
      </c>
      <c r="G15" s="11">
        <v>51</v>
      </c>
      <c r="H15" s="11"/>
      <c r="I15" s="11">
        <v>43</v>
      </c>
      <c r="J15" s="11"/>
      <c r="K15" s="11"/>
      <c r="L15" s="11">
        <v>1</v>
      </c>
      <c r="M15" s="11"/>
      <c r="N15" s="63" t="s">
        <v>724</v>
      </c>
      <c r="O15" s="62" t="s">
        <v>725</v>
      </c>
      <c r="P15" s="64">
        <f t="shared" si="2"/>
        <v>142.74</v>
      </c>
      <c r="Q15" s="64">
        <f t="shared" si="3"/>
        <v>223.57999999999998</v>
      </c>
    </row>
    <row r="16" spans="1:17" ht="15" customHeight="1" x14ac:dyDescent="0.15">
      <c r="A16" s="62" t="s">
        <v>726</v>
      </c>
      <c r="B16" s="11">
        <v>245</v>
      </c>
      <c r="C16" s="11">
        <v>51</v>
      </c>
      <c r="D16" s="11">
        <v>66</v>
      </c>
      <c r="E16" s="11">
        <v>46</v>
      </c>
      <c r="F16" s="11">
        <v>75</v>
      </c>
      <c r="G16" s="11"/>
      <c r="H16" s="11"/>
      <c r="I16" s="11"/>
      <c r="J16" s="11"/>
      <c r="K16" s="11"/>
      <c r="L16" s="11"/>
      <c r="M16" s="11"/>
      <c r="N16" s="63"/>
      <c r="O16" s="62" t="s">
        <v>727</v>
      </c>
      <c r="P16" s="64">
        <f t="shared" si="2"/>
        <v>116.66</v>
      </c>
      <c r="Q16" s="64">
        <f t="shared" si="3"/>
        <v>116.66</v>
      </c>
    </row>
    <row r="17" spans="1:17" ht="15" customHeight="1" x14ac:dyDescent="0.15">
      <c r="A17" s="62" t="s">
        <v>728</v>
      </c>
      <c r="B17" s="11">
        <v>232</v>
      </c>
      <c r="C17" s="11">
        <v>54</v>
      </c>
      <c r="D17" s="11">
        <v>34</v>
      </c>
      <c r="E17" s="11"/>
      <c r="F17" s="11">
        <v>78</v>
      </c>
      <c r="G17" s="11">
        <v>50</v>
      </c>
      <c r="H17" s="11">
        <v>51</v>
      </c>
      <c r="I17" s="11"/>
      <c r="J17" s="11"/>
      <c r="K17" s="11"/>
      <c r="L17" s="11"/>
      <c r="M17" s="11"/>
      <c r="N17" s="63"/>
      <c r="O17" s="62" t="s">
        <v>729</v>
      </c>
      <c r="P17" s="64">
        <f t="shared" si="2"/>
        <v>173.24</v>
      </c>
      <c r="Q17" s="64">
        <f t="shared" si="3"/>
        <v>173.24</v>
      </c>
    </row>
    <row r="18" spans="1:17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</row>
    <row r="19" spans="1:17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</row>
    <row r="20" spans="1:17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</row>
    <row r="21" spans="1:17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</row>
    <row r="22" spans="1:17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</row>
    <row r="23" spans="1:17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</row>
    <row r="24" spans="1:17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50"/>
  <sheetViews>
    <sheetView workbookViewId="0">
      <selection activeCell="A35" sqref="A35"/>
    </sheetView>
  </sheetViews>
  <sheetFormatPr defaultRowHeight="15" customHeight="1" x14ac:dyDescent="0.15"/>
  <cols>
    <col min="1" max="1" width="24.7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1" width="54.25" style="6" customWidth="1"/>
    <col min="12" max="12" width="24.625" style="6" customWidth="1"/>
    <col min="13" max="13" width="24" style="6" customWidth="1"/>
    <col min="14" max="256" width="9" style="6"/>
    <col min="257" max="257" width="24.75" style="6" customWidth="1"/>
    <col min="258" max="258" width="5.125" style="6" bestFit="1" customWidth="1"/>
    <col min="259" max="261" width="5.125" style="6" customWidth="1"/>
    <col min="262" max="262" width="9.125" style="6" customWidth="1"/>
    <col min="263" max="266" width="5.125" style="6" customWidth="1"/>
    <col min="267" max="267" width="45.5" style="6" customWidth="1"/>
    <col min="268" max="268" width="24.625" style="6" customWidth="1"/>
    <col min="269" max="512" width="9" style="6"/>
    <col min="513" max="513" width="24.75" style="6" customWidth="1"/>
    <col min="514" max="514" width="5.125" style="6" bestFit="1" customWidth="1"/>
    <col min="515" max="517" width="5.125" style="6" customWidth="1"/>
    <col min="518" max="518" width="9.125" style="6" customWidth="1"/>
    <col min="519" max="522" width="5.125" style="6" customWidth="1"/>
    <col min="523" max="523" width="45.5" style="6" customWidth="1"/>
    <col min="524" max="524" width="24.625" style="6" customWidth="1"/>
    <col min="525" max="768" width="9" style="6"/>
    <col min="769" max="769" width="24.75" style="6" customWidth="1"/>
    <col min="770" max="770" width="5.125" style="6" bestFit="1" customWidth="1"/>
    <col min="771" max="773" width="5.125" style="6" customWidth="1"/>
    <col min="774" max="774" width="9.125" style="6" customWidth="1"/>
    <col min="775" max="778" width="5.125" style="6" customWidth="1"/>
    <col min="779" max="779" width="45.5" style="6" customWidth="1"/>
    <col min="780" max="780" width="24.625" style="6" customWidth="1"/>
    <col min="781" max="1024" width="9" style="6"/>
    <col min="1025" max="1025" width="24.75" style="6" customWidth="1"/>
    <col min="1026" max="1026" width="5.125" style="6" bestFit="1" customWidth="1"/>
    <col min="1027" max="1029" width="5.125" style="6" customWidth="1"/>
    <col min="1030" max="1030" width="9.125" style="6" customWidth="1"/>
    <col min="1031" max="1034" width="5.125" style="6" customWidth="1"/>
    <col min="1035" max="1035" width="45.5" style="6" customWidth="1"/>
    <col min="1036" max="1036" width="24.625" style="6" customWidth="1"/>
    <col min="1037" max="1280" width="9" style="6"/>
    <col min="1281" max="1281" width="24.75" style="6" customWidth="1"/>
    <col min="1282" max="1282" width="5.125" style="6" bestFit="1" customWidth="1"/>
    <col min="1283" max="1285" width="5.125" style="6" customWidth="1"/>
    <col min="1286" max="1286" width="9.125" style="6" customWidth="1"/>
    <col min="1287" max="1290" width="5.125" style="6" customWidth="1"/>
    <col min="1291" max="1291" width="45.5" style="6" customWidth="1"/>
    <col min="1292" max="1292" width="24.625" style="6" customWidth="1"/>
    <col min="1293" max="1536" width="9" style="6"/>
    <col min="1537" max="1537" width="24.75" style="6" customWidth="1"/>
    <col min="1538" max="1538" width="5.125" style="6" bestFit="1" customWidth="1"/>
    <col min="1539" max="1541" width="5.125" style="6" customWidth="1"/>
    <col min="1542" max="1542" width="9.125" style="6" customWidth="1"/>
    <col min="1543" max="1546" width="5.125" style="6" customWidth="1"/>
    <col min="1547" max="1547" width="45.5" style="6" customWidth="1"/>
    <col min="1548" max="1548" width="24.625" style="6" customWidth="1"/>
    <col min="1549" max="1792" width="9" style="6"/>
    <col min="1793" max="1793" width="24.75" style="6" customWidth="1"/>
    <col min="1794" max="1794" width="5.125" style="6" bestFit="1" customWidth="1"/>
    <col min="1795" max="1797" width="5.125" style="6" customWidth="1"/>
    <col min="1798" max="1798" width="9.125" style="6" customWidth="1"/>
    <col min="1799" max="1802" width="5.125" style="6" customWidth="1"/>
    <col min="1803" max="1803" width="45.5" style="6" customWidth="1"/>
    <col min="1804" max="1804" width="24.625" style="6" customWidth="1"/>
    <col min="1805" max="2048" width="9" style="6"/>
    <col min="2049" max="2049" width="24.75" style="6" customWidth="1"/>
    <col min="2050" max="2050" width="5.125" style="6" bestFit="1" customWidth="1"/>
    <col min="2051" max="2053" width="5.125" style="6" customWidth="1"/>
    <col min="2054" max="2054" width="9.125" style="6" customWidth="1"/>
    <col min="2055" max="2058" width="5.125" style="6" customWidth="1"/>
    <col min="2059" max="2059" width="45.5" style="6" customWidth="1"/>
    <col min="2060" max="2060" width="24.625" style="6" customWidth="1"/>
    <col min="2061" max="2304" width="9" style="6"/>
    <col min="2305" max="2305" width="24.75" style="6" customWidth="1"/>
    <col min="2306" max="2306" width="5.125" style="6" bestFit="1" customWidth="1"/>
    <col min="2307" max="2309" width="5.125" style="6" customWidth="1"/>
    <col min="2310" max="2310" width="9.125" style="6" customWidth="1"/>
    <col min="2311" max="2314" width="5.125" style="6" customWidth="1"/>
    <col min="2315" max="2315" width="45.5" style="6" customWidth="1"/>
    <col min="2316" max="2316" width="24.625" style="6" customWidth="1"/>
    <col min="2317" max="2560" width="9" style="6"/>
    <col min="2561" max="2561" width="24.75" style="6" customWidth="1"/>
    <col min="2562" max="2562" width="5.125" style="6" bestFit="1" customWidth="1"/>
    <col min="2563" max="2565" width="5.125" style="6" customWidth="1"/>
    <col min="2566" max="2566" width="9.125" style="6" customWidth="1"/>
    <col min="2567" max="2570" width="5.125" style="6" customWidth="1"/>
    <col min="2571" max="2571" width="45.5" style="6" customWidth="1"/>
    <col min="2572" max="2572" width="24.625" style="6" customWidth="1"/>
    <col min="2573" max="2816" width="9" style="6"/>
    <col min="2817" max="2817" width="24.75" style="6" customWidth="1"/>
    <col min="2818" max="2818" width="5.125" style="6" bestFit="1" customWidth="1"/>
    <col min="2819" max="2821" width="5.125" style="6" customWidth="1"/>
    <col min="2822" max="2822" width="9.125" style="6" customWidth="1"/>
    <col min="2823" max="2826" width="5.125" style="6" customWidth="1"/>
    <col min="2827" max="2827" width="45.5" style="6" customWidth="1"/>
    <col min="2828" max="2828" width="24.625" style="6" customWidth="1"/>
    <col min="2829" max="3072" width="9" style="6"/>
    <col min="3073" max="3073" width="24.75" style="6" customWidth="1"/>
    <col min="3074" max="3074" width="5.125" style="6" bestFit="1" customWidth="1"/>
    <col min="3075" max="3077" width="5.125" style="6" customWidth="1"/>
    <col min="3078" max="3078" width="9.125" style="6" customWidth="1"/>
    <col min="3079" max="3082" width="5.125" style="6" customWidth="1"/>
    <col min="3083" max="3083" width="45.5" style="6" customWidth="1"/>
    <col min="3084" max="3084" width="24.625" style="6" customWidth="1"/>
    <col min="3085" max="3328" width="9" style="6"/>
    <col min="3329" max="3329" width="24.75" style="6" customWidth="1"/>
    <col min="3330" max="3330" width="5.125" style="6" bestFit="1" customWidth="1"/>
    <col min="3331" max="3333" width="5.125" style="6" customWidth="1"/>
    <col min="3334" max="3334" width="9.125" style="6" customWidth="1"/>
    <col min="3335" max="3338" width="5.125" style="6" customWidth="1"/>
    <col min="3339" max="3339" width="45.5" style="6" customWidth="1"/>
    <col min="3340" max="3340" width="24.625" style="6" customWidth="1"/>
    <col min="3341" max="3584" width="9" style="6"/>
    <col min="3585" max="3585" width="24.75" style="6" customWidth="1"/>
    <col min="3586" max="3586" width="5.125" style="6" bestFit="1" customWidth="1"/>
    <col min="3587" max="3589" width="5.125" style="6" customWidth="1"/>
    <col min="3590" max="3590" width="9.125" style="6" customWidth="1"/>
    <col min="3591" max="3594" width="5.125" style="6" customWidth="1"/>
    <col min="3595" max="3595" width="45.5" style="6" customWidth="1"/>
    <col min="3596" max="3596" width="24.625" style="6" customWidth="1"/>
    <col min="3597" max="3840" width="9" style="6"/>
    <col min="3841" max="3841" width="24.75" style="6" customWidth="1"/>
    <col min="3842" max="3842" width="5.125" style="6" bestFit="1" customWidth="1"/>
    <col min="3843" max="3845" width="5.125" style="6" customWidth="1"/>
    <col min="3846" max="3846" width="9.125" style="6" customWidth="1"/>
    <col min="3847" max="3850" width="5.125" style="6" customWidth="1"/>
    <col min="3851" max="3851" width="45.5" style="6" customWidth="1"/>
    <col min="3852" max="3852" width="24.625" style="6" customWidth="1"/>
    <col min="3853" max="4096" width="9" style="6"/>
    <col min="4097" max="4097" width="24.75" style="6" customWidth="1"/>
    <col min="4098" max="4098" width="5.125" style="6" bestFit="1" customWidth="1"/>
    <col min="4099" max="4101" width="5.125" style="6" customWidth="1"/>
    <col min="4102" max="4102" width="9.125" style="6" customWidth="1"/>
    <col min="4103" max="4106" width="5.125" style="6" customWidth="1"/>
    <col min="4107" max="4107" width="45.5" style="6" customWidth="1"/>
    <col min="4108" max="4108" width="24.625" style="6" customWidth="1"/>
    <col min="4109" max="4352" width="9" style="6"/>
    <col min="4353" max="4353" width="24.75" style="6" customWidth="1"/>
    <col min="4354" max="4354" width="5.125" style="6" bestFit="1" customWidth="1"/>
    <col min="4355" max="4357" width="5.125" style="6" customWidth="1"/>
    <col min="4358" max="4358" width="9.125" style="6" customWidth="1"/>
    <col min="4359" max="4362" width="5.125" style="6" customWidth="1"/>
    <col min="4363" max="4363" width="45.5" style="6" customWidth="1"/>
    <col min="4364" max="4364" width="24.625" style="6" customWidth="1"/>
    <col min="4365" max="4608" width="9" style="6"/>
    <col min="4609" max="4609" width="24.75" style="6" customWidth="1"/>
    <col min="4610" max="4610" width="5.125" style="6" bestFit="1" customWidth="1"/>
    <col min="4611" max="4613" width="5.125" style="6" customWidth="1"/>
    <col min="4614" max="4614" width="9.125" style="6" customWidth="1"/>
    <col min="4615" max="4618" width="5.125" style="6" customWidth="1"/>
    <col min="4619" max="4619" width="45.5" style="6" customWidth="1"/>
    <col min="4620" max="4620" width="24.625" style="6" customWidth="1"/>
    <col min="4621" max="4864" width="9" style="6"/>
    <col min="4865" max="4865" width="24.75" style="6" customWidth="1"/>
    <col min="4866" max="4866" width="5.125" style="6" bestFit="1" customWidth="1"/>
    <col min="4867" max="4869" width="5.125" style="6" customWidth="1"/>
    <col min="4870" max="4870" width="9.125" style="6" customWidth="1"/>
    <col min="4871" max="4874" width="5.125" style="6" customWidth="1"/>
    <col min="4875" max="4875" width="45.5" style="6" customWidth="1"/>
    <col min="4876" max="4876" width="24.625" style="6" customWidth="1"/>
    <col min="4877" max="5120" width="9" style="6"/>
    <col min="5121" max="5121" width="24.75" style="6" customWidth="1"/>
    <col min="5122" max="5122" width="5.125" style="6" bestFit="1" customWidth="1"/>
    <col min="5123" max="5125" width="5.125" style="6" customWidth="1"/>
    <col min="5126" max="5126" width="9.125" style="6" customWidth="1"/>
    <col min="5127" max="5130" width="5.125" style="6" customWidth="1"/>
    <col min="5131" max="5131" width="45.5" style="6" customWidth="1"/>
    <col min="5132" max="5132" width="24.625" style="6" customWidth="1"/>
    <col min="5133" max="5376" width="9" style="6"/>
    <col min="5377" max="5377" width="24.75" style="6" customWidth="1"/>
    <col min="5378" max="5378" width="5.125" style="6" bestFit="1" customWidth="1"/>
    <col min="5379" max="5381" width="5.125" style="6" customWidth="1"/>
    <col min="5382" max="5382" width="9.125" style="6" customWidth="1"/>
    <col min="5383" max="5386" width="5.125" style="6" customWidth="1"/>
    <col min="5387" max="5387" width="45.5" style="6" customWidth="1"/>
    <col min="5388" max="5388" width="24.625" style="6" customWidth="1"/>
    <col min="5389" max="5632" width="9" style="6"/>
    <col min="5633" max="5633" width="24.75" style="6" customWidth="1"/>
    <col min="5634" max="5634" width="5.125" style="6" bestFit="1" customWidth="1"/>
    <col min="5635" max="5637" width="5.125" style="6" customWidth="1"/>
    <col min="5638" max="5638" width="9.125" style="6" customWidth="1"/>
    <col min="5639" max="5642" width="5.125" style="6" customWidth="1"/>
    <col min="5643" max="5643" width="45.5" style="6" customWidth="1"/>
    <col min="5644" max="5644" width="24.625" style="6" customWidth="1"/>
    <col min="5645" max="5888" width="9" style="6"/>
    <col min="5889" max="5889" width="24.75" style="6" customWidth="1"/>
    <col min="5890" max="5890" width="5.125" style="6" bestFit="1" customWidth="1"/>
    <col min="5891" max="5893" width="5.125" style="6" customWidth="1"/>
    <col min="5894" max="5894" width="9.125" style="6" customWidth="1"/>
    <col min="5895" max="5898" width="5.125" style="6" customWidth="1"/>
    <col min="5899" max="5899" width="45.5" style="6" customWidth="1"/>
    <col min="5900" max="5900" width="24.625" style="6" customWidth="1"/>
    <col min="5901" max="6144" width="9" style="6"/>
    <col min="6145" max="6145" width="24.75" style="6" customWidth="1"/>
    <col min="6146" max="6146" width="5.125" style="6" bestFit="1" customWidth="1"/>
    <col min="6147" max="6149" width="5.125" style="6" customWidth="1"/>
    <col min="6150" max="6150" width="9.125" style="6" customWidth="1"/>
    <col min="6151" max="6154" width="5.125" style="6" customWidth="1"/>
    <col min="6155" max="6155" width="45.5" style="6" customWidth="1"/>
    <col min="6156" max="6156" width="24.625" style="6" customWidth="1"/>
    <col min="6157" max="6400" width="9" style="6"/>
    <col min="6401" max="6401" width="24.75" style="6" customWidth="1"/>
    <col min="6402" max="6402" width="5.125" style="6" bestFit="1" customWidth="1"/>
    <col min="6403" max="6405" width="5.125" style="6" customWidth="1"/>
    <col min="6406" max="6406" width="9.125" style="6" customWidth="1"/>
    <col min="6407" max="6410" width="5.125" style="6" customWidth="1"/>
    <col min="6411" max="6411" width="45.5" style="6" customWidth="1"/>
    <col min="6412" max="6412" width="24.625" style="6" customWidth="1"/>
    <col min="6413" max="6656" width="9" style="6"/>
    <col min="6657" max="6657" width="24.75" style="6" customWidth="1"/>
    <col min="6658" max="6658" width="5.125" style="6" bestFit="1" customWidth="1"/>
    <col min="6659" max="6661" width="5.125" style="6" customWidth="1"/>
    <col min="6662" max="6662" width="9.125" style="6" customWidth="1"/>
    <col min="6663" max="6666" width="5.125" style="6" customWidth="1"/>
    <col min="6667" max="6667" width="45.5" style="6" customWidth="1"/>
    <col min="6668" max="6668" width="24.625" style="6" customWidth="1"/>
    <col min="6669" max="6912" width="9" style="6"/>
    <col min="6913" max="6913" width="24.75" style="6" customWidth="1"/>
    <col min="6914" max="6914" width="5.125" style="6" bestFit="1" customWidth="1"/>
    <col min="6915" max="6917" width="5.125" style="6" customWidth="1"/>
    <col min="6918" max="6918" width="9.125" style="6" customWidth="1"/>
    <col min="6919" max="6922" width="5.125" style="6" customWidth="1"/>
    <col min="6923" max="6923" width="45.5" style="6" customWidth="1"/>
    <col min="6924" max="6924" width="24.625" style="6" customWidth="1"/>
    <col min="6925" max="7168" width="9" style="6"/>
    <col min="7169" max="7169" width="24.75" style="6" customWidth="1"/>
    <col min="7170" max="7170" width="5.125" style="6" bestFit="1" customWidth="1"/>
    <col min="7171" max="7173" width="5.125" style="6" customWidth="1"/>
    <col min="7174" max="7174" width="9.125" style="6" customWidth="1"/>
    <col min="7175" max="7178" width="5.125" style="6" customWidth="1"/>
    <col min="7179" max="7179" width="45.5" style="6" customWidth="1"/>
    <col min="7180" max="7180" width="24.625" style="6" customWidth="1"/>
    <col min="7181" max="7424" width="9" style="6"/>
    <col min="7425" max="7425" width="24.75" style="6" customWidth="1"/>
    <col min="7426" max="7426" width="5.125" style="6" bestFit="1" customWidth="1"/>
    <col min="7427" max="7429" width="5.125" style="6" customWidth="1"/>
    <col min="7430" max="7430" width="9.125" style="6" customWidth="1"/>
    <col min="7431" max="7434" width="5.125" style="6" customWidth="1"/>
    <col min="7435" max="7435" width="45.5" style="6" customWidth="1"/>
    <col min="7436" max="7436" width="24.625" style="6" customWidth="1"/>
    <col min="7437" max="7680" width="9" style="6"/>
    <col min="7681" max="7681" width="24.75" style="6" customWidth="1"/>
    <col min="7682" max="7682" width="5.125" style="6" bestFit="1" customWidth="1"/>
    <col min="7683" max="7685" width="5.125" style="6" customWidth="1"/>
    <col min="7686" max="7686" width="9.125" style="6" customWidth="1"/>
    <col min="7687" max="7690" width="5.125" style="6" customWidth="1"/>
    <col min="7691" max="7691" width="45.5" style="6" customWidth="1"/>
    <col min="7692" max="7692" width="24.625" style="6" customWidth="1"/>
    <col min="7693" max="7936" width="9" style="6"/>
    <col min="7937" max="7937" width="24.75" style="6" customWidth="1"/>
    <col min="7938" max="7938" width="5.125" style="6" bestFit="1" customWidth="1"/>
    <col min="7939" max="7941" width="5.125" style="6" customWidth="1"/>
    <col min="7942" max="7942" width="9.125" style="6" customWidth="1"/>
    <col min="7943" max="7946" width="5.125" style="6" customWidth="1"/>
    <col min="7947" max="7947" width="45.5" style="6" customWidth="1"/>
    <col min="7948" max="7948" width="24.625" style="6" customWidth="1"/>
    <col min="7949" max="8192" width="9" style="6"/>
    <col min="8193" max="8193" width="24.75" style="6" customWidth="1"/>
    <col min="8194" max="8194" width="5.125" style="6" bestFit="1" customWidth="1"/>
    <col min="8195" max="8197" width="5.125" style="6" customWidth="1"/>
    <col min="8198" max="8198" width="9.125" style="6" customWidth="1"/>
    <col min="8199" max="8202" width="5.125" style="6" customWidth="1"/>
    <col min="8203" max="8203" width="45.5" style="6" customWidth="1"/>
    <col min="8204" max="8204" width="24.625" style="6" customWidth="1"/>
    <col min="8205" max="8448" width="9" style="6"/>
    <col min="8449" max="8449" width="24.75" style="6" customWidth="1"/>
    <col min="8450" max="8450" width="5.125" style="6" bestFit="1" customWidth="1"/>
    <col min="8451" max="8453" width="5.125" style="6" customWidth="1"/>
    <col min="8454" max="8454" width="9.125" style="6" customWidth="1"/>
    <col min="8455" max="8458" width="5.125" style="6" customWidth="1"/>
    <col min="8459" max="8459" width="45.5" style="6" customWidth="1"/>
    <col min="8460" max="8460" width="24.625" style="6" customWidth="1"/>
    <col min="8461" max="8704" width="9" style="6"/>
    <col min="8705" max="8705" width="24.75" style="6" customWidth="1"/>
    <col min="8706" max="8706" width="5.125" style="6" bestFit="1" customWidth="1"/>
    <col min="8707" max="8709" width="5.125" style="6" customWidth="1"/>
    <col min="8710" max="8710" width="9.125" style="6" customWidth="1"/>
    <col min="8711" max="8714" width="5.125" style="6" customWidth="1"/>
    <col min="8715" max="8715" width="45.5" style="6" customWidth="1"/>
    <col min="8716" max="8716" width="24.625" style="6" customWidth="1"/>
    <col min="8717" max="8960" width="9" style="6"/>
    <col min="8961" max="8961" width="24.75" style="6" customWidth="1"/>
    <col min="8962" max="8962" width="5.125" style="6" bestFit="1" customWidth="1"/>
    <col min="8963" max="8965" width="5.125" style="6" customWidth="1"/>
    <col min="8966" max="8966" width="9.125" style="6" customWidth="1"/>
    <col min="8967" max="8970" width="5.125" style="6" customWidth="1"/>
    <col min="8971" max="8971" width="45.5" style="6" customWidth="1"/>
    <col min="8972" max="8972" width="24.625" style="6" customWidth="1"/>
    <col min="8973" max="9216" width="9" style="6"/>
    <col min="9217" max="9217" width="24.75" style="6" customWidth="1"/>
    <col min="9218" max="9218" width="5.125" style="6" bestFit="1" customWidth="1"/>
    <col min="9219" max="9221" width="5.125" style="6" customWidth="1"/>
    <col min="9222" max="9222" width="9.125" style="6" customWidth="1"/>
    <col min="9223" max="9226" width="5.125" style="6" customWidth="1"/>
    <col min="9227" max="9227" width="45.5" style="6" customWidth="1"/>
    <col min="9228" max="9228" width="24.625" style="6" customWidth="1"/>
    <col min="9229" max="9472" width="9" style="6"/>
    <col min="9473" max="9473" width="24.75" style="6" customWidth="1"/>
    <col min="9474" max="9474" width="5.125" style="6" bestFit="1" customWidth="1"/>
    <col min="9475" max="9477" width="5.125" style="6" customWidth="1"/>
    <col min="9478" max="9478" width="9.125" style="6" customWidth="1"/>
    <col min="9479" max="9482" width="5.125" style="6" customWidth="1"/>
    <col min="9483" max="9483" width="45.5" style="6" customWidth="1"/>
    <col min="9484" max="9484" width="24.625" style="6" customWidth="1"/>
    <col min="9485" max="9728" width="9" style="6"/>
    <col min="9729" max="9729" width="24.75" style="6" customWidth="1"/>
    <col min="9730" max="9730" width="5.125" style="6" bestFit="1" customWidth="1"/>
    <col min="9731" max="9733" width="5.125" style="6" customWidth="1"/>
    <col min="9734" max="9734" width="9.125" style="6" customWidth="1"/>
    <col min="9735" max="9738" width="5.125" style="6" customWidth="1"/>
    <col min="9739" max="9739" width="45.5" style="6" customWidth="1"/>
    <col min="9740" max="9740" width="24.625" style="6" customWidth="1"/>
    <col min="9741" max="9984" width="9" style="6"/>
    <col min="9985" max="9985" width="24.75" style="6" customWidth="1"/>
    <col min="9986" max="9986" width="5.125" style="6" bestFit="1" customWidth="1"/>
    <col min="9987" max="9989" width="5.125" style="6" customWidth="1"/>
    <col min="9990" max="9990" width="9.125" style="6" customWidth="1"/>
    <col min="9991" max="9994" width="5.125" style="6" customWidth="1"/>
    <col min="9995" max="9995" width="45.5" style="6" customWidth="1"/>
    <col min="9996" max="9996" width="24.625" style="6" customWidth="1"/>
    <col min="9997" max="10240" width="9" style="6"/>
    <col min="10241" max="10241" width="24.75" style="6" customWidth="1"/>
    <col min="10242" max="10242" width="5.125" style="6" bestFit="1" customWidth="1"/>
    <col min="10243" max="10245" width="5.125" style="6" customWidth="1"/>
    <col min="10246" max="10246" width="9.125" style="6" customWidth="1"/>
    <col min="10247" max="10250" width="5.125" style="6" customWidth="1"/>
    <col min="10251" max="10251" width="45.5" style="6" customWidth="1"/>
    <col min="10252" max="10252" width="24.625" style="6" customWidth="1"/>
    <col min="10253" max="10496" width="9" style="6"/>
    <col min="10497" max="10497" width="24.75" style="6" customWidth="1"/>
    <col min="10498" max="10498" width="5.125" style="6" bestFit="1" customWidth="1"/>
    <col min="10499" max="10501" width="5.125" style="6" customWidth="1"/>
    <col min="10502" max="10502" width="9.125" style="6" customWidth="1"/>
    <col min="10503" max="10506" width="5.125" style="6" customWidth="1"/>
    <col min="10507" max="10507" width="45.5" style="6" customWidth="1"/>
    <col min="10508" max="10508" width="24.625" style="6" customWidth="1"/>
    <col min="10509" max="10752" width="9" style="6"/>
    <col min="10753" max="10753" width="24.75" style="6" customWidth="1"/>
    <col min="10754" max="10754" width="5.125" style="6" bestFit="1" customWidth="1"/>
    <col min="10755" max="10757" width="5.125" style="6" customWidth="1"/>
    <col min="10758" max="10758" width="9.125" style="6" customWidth="1"/>
    <col min="10759" max="10762" width="5.125" style="6" customWidth="1"/>
    <col min="10763" max="10763" width="45.5" style="6" customWidth="1"/>
    <col min="10764" max="10764" width="24.625" style="6" customWidth="1"/>
    <col min="10765" max="11008" width="9" style="6"/>
    <col min="11009" max="11009" width="24.75" style="6" customWidth="1"/>
    <col min="11010" max="11010" width="5.125" style="6" bestFit="1" customWidth="1"/>
    <col min="11011" max="11013" width="5.125" style="6" customWidth="1"/>
    <col min="11014" max="11014" width="9.125" style="6" customWidth="1"/>
    <col min="11015" max="11018" width="5.125" style="6" customWidth="1"/>
    <col min="11019" max="11019" width="45.5" style="6" customWidth="1"/>
    <col min="11020" max="11020" width="24.625" style="6" customWidth="1"/>
    <col min="11021" max="11264" width="9" style="6"/>
    <col min="11265" max="11265" width="24.75" style="6" customWidth="1"/>
    <col min="11266" max="11266" width="5.125" style="6" bestFit="1" customWidth="1"/>
    <col min="11267" max="11269" width="5.125" style="6" customWidth="1"/>
    <col min="11270" max="11270" width="9.125" style="6" customWidth="1"/>
    <col min="11271" max="11274" width="5.125" style="6" customWidth="1"/>
    <col min="11275" max="11275" width="45.5" style="6" customWidth="1"/>
    <col min="11276" max="11276" width="24.625" style="6" customWidth="1"/>
    <col min="11277" max="11520" width="9" style="6"/>
    <col min="11521" max="11521" width="24.75" style="6" customWidth="1"/>
    <col min="11522" max="11522" width="5.125" style="6" bestFit="1" customWidth="1"/>
    <col min="11523" max="11525" width="5.125" style="6" customWidth="1"/>
    <col min="11526" max="11526" width="9.125" style="6" customWidth="1"/>
    <col min="11527" max="11530" width="5.125" style="6" customWidth="1"/>
    <col min="11531" max="11531" width="45.5" style="6" customWidth="1"/>
    <col min="11532" max="11532" width="24.625" style="6" customWidth="1"/>
    <col min="11533" max="11776" width="9" style="6"/>
    <col min="11777" max="11777" width="24.75" style="6" customWidth="1"/>
    <col min="11778" max="11778" width="5.125" style="6" bestFit="1" customWidth="1"/>
    <col min="11779" max="11781" width="5.125" style="6" customWidth="1"/>
    <col min="11782" max="11782" width="9.125" style="6" customWidth="1"/>
    <col min="11783" max="11786" width="5.125" style="6" customWidth="1"/>
    <col min="11787" max="11787" width="45.5" style="6" customWidth="1"/>
    <col min="11788" max="11788" width="24.625" style="6" customWidth="1"/>
    <col min="11789" max="12032" width="9" style="6"/>
    <col min="12033" max="12033" width="24.75" style="6" customWidth="1"/>
    <col min="12034" max="12034" width="5.125" style="6" bestFit="1" customWidth="1"/>
    <col min="12035" max="12037" width="5.125" style="6" customWidth="1"/>
    <col min="12038" max="12038" width="9.125" style="6" customWidth="1"/>
    <col min="12039" max="12042" width="5.125" style="6" customWidth="1"/>
    <col min="12043" max="12043" width="45.5" style="6" customWidth="1"/>
    <col min="12044" max="12044" width="24.625" style="6" customWidth="1"/>
    <col min="12045" max="12288" width="9" style="6"/>
    <col min="12289" max="12289" width="24.75" style="6" customWidth="1"/>
    <col min="12290" max="12290" width="5.125" style="6" bestFit="1" customWidth="1"/>
    <col min="12291" max="12293" width="5.125" style="6" customWidth="1"/>
    <col min="12294" max="12294" width="9.125" style="6" customWidth="1"/>
    <col min="12295" max="12298" width="5.125" style="6" customWidth="1"/>
    <col min="12299" max="12299" width="45.5" style="6" customWidth="1"/>
    <col min="12300" max="12300" width="24.625" style="6" customWidth="1"/>
    <col min="12301" max="12544" width="9" style="6"/>
    <col min="12545" max="12545" width="24.75" style="6" customWidth="1"/>
    <col min="12546" max="12546" width="5.125" style="6" bestFit="1" customWidth="1"/>
    <col min="12547" max="12549" width="5.125" style="6" customWidth="1"/>
    <col min="12550" max="12550" width="9.125" style="6" customWidth="1"/>
    <col min="12551" max="12554" width="5.125" style="6" customWidth="1"/>
    <col min="12555" max="12555" width="45.5" style="6" customWidth="1"/>
    <col min="12556" max="12556" width="24.625" style="6" customWidth="1"/>
    <col min="12557" max="12800" width="9" style="6"/>
    <col min="12801" max="12801" width="24.75" style="6" customWidth="1"/>
    <col min="12802" max="12802" width="5.125" style="6" bestFit="1" customWidth="1"/>
    <col min="12803" max="12805" width="5.125" style="6" customWidth="1"/>
    <col min="12806" max="12806" width="9.125" style="6" customWidth="1"/>
    <col min="12807" max="12810" width="5.125" style="6" customWidth="1"/>
    <col min="12811" max="12811" width="45.5" style="6" customWidth="1"/>
    <col min="12812" max="12812" width="24.625" style="6" customWidth="1"/>
    <col min="12813" max="13056" width="9" style="6"/>
    <col min="13057" max="13057" width="24.75" style="6" customWidth="1"/>
    <col min="13058" max="13058" width="5.125" style="6" bestFit="1" customWidth="1"/>
    <col min="13059" max="13061" width="5.125" style="6" customWidth="1"/>
    <col min="13062" max="13062" width="9.125" style="6" customWidth="1"/>
    <col min="13063" max="13066" width="5.125" style="6" customWidth="1"/>
    <col min="13067" max="13067" width="45.5" style="6" customWidth="1"/>
    <col min="13068" max="13068" width="24.625" style="6" customWidth="1"/>
    <col min="13069" max="13312" width="9" style="6"/>
    <col min="13313" max="13313" width="24.75" style="6" customWidth="1"/>
    <col min="13314" max="13314" width="5.125" style="6" bestFit="1" customWidth="1"/>
    <col min="13315" max="13317" width="5.125" style="6" customWidth="1"/>
    <col min="13318" max="13318" width="9.125" style="6" customWidth="1"/>
    <col min="13319" max="13322" width="5.125" style="6" customWidth="1"/>
    <col min="13323" max="13323" width="45.5" style="6" customWidth="1"/>
    <col min="13324" max="13324" width="24.625" style="6" customWidth="1"/>
    <col min="13325" max="13568" width="9" style="6"/>
    <col min="13569" max="13569" width="24.75" style="6" customWidth="1"/>
    <col min="13570" max="13570" width="5.125" style="6" bestFit="1" customWidth="1"/>
    <col min="13571" max="13573" width="5.125" style="6" customWidth="1"/>
    <col min="13574" max="13574" width="9.125" style="6" customWidth="1"/>
    <col min="13575" max="13578" width="5.125" style="6" customWidth="1"/>
    <col min="13579" max="13579" width="45.5" style="6" customWidth="1"/>
    <col min="13580" max="13580" width="24.625" style="6" customWidth="1"/>
    <col min="13581" max="13824" width="9" style="6"/>
    <col min="13825" max="13825" width="24.75" style="6" customWidth="1"/>
    <col min="13826" max="13826" width="5.125" style="6" bestFit="1" customWidth="1"/>
    <col min="13827" max="13829" width="5.125" style="6" customWidth="1"/>
    <col min="13830" max="13830" width="9.125" style="6" customWidth="1"/>
    <col min="13831" max="13834" width="5.125" style="6" customWidth="1"/>
    <col min="13835" max="13835" width="45.5" style="6" customWidth="1"/>
    <col min="13836" max="13836" width="24.625" style="6" customWidth="1"/>
    <col min="13837" max="14080" width="9" style="6"/>
    <col min="14081" max="14081" width="24.75" style="6" customWidth="1"/>
    <col min="14082" max="14082" width="5.125" style="6" bestFit="1" customWidth="1"/>
    <col min="14083" max="14085" width="5.125" style="6" customWidth="1"/>
    <col min="14086" max="14086" width="9.125" style="6" customWidth="1"/>
    <col min="14087" max="14090" width="5.125" style="6" customWidth="1"/>
    <col min="14091" max="14091" width="45.5" style="6" customWidth="1"/>
    <col min="14092" max="14092" width="24.625" style="6" customWidth="1"/>
    <col min="14093" max="14336" width="9" style="6"/>
    <col min="14337" max="14337" width="24.75" style="6" customWidth="1"/>
    <col min="14338" max="14338" width="5.125" style="6" bestFit="1" customWidth="1"/>
    <col min="14339" max="14341" width="5.125" style="6" customWidth="1"/>
    <col min="14342" max="14342" width="9.125" style="6" customWidth="1"/>
    <col min="14343" max="14346" width="5.125" style="6" customWidth="1"/>
    <col min="14347" max="14347" width="45.5" style="6" customWidth="1"/>
    <col min="14348" max="14348" width="24.625" style="6" customWidth="1"/>
    <col min="14349" max="14592" width="9" style="6"/>
    <col min="14593" max="14593" width="24.75" style="6" customWidth="1"/>
    <col min="14594" max="14594" width="5.125" style="6" bestFit="1" customWidth="1"/>
    <col min="14595" max="14597" width="5.125" style="6" customWidth="1"/>
    <col min="14598" max="14598" width="9.125" style="6" customWidth="1"/>
    <col min="14599" max="14602" width="5.125" style="6" customWidth="1"/>
    <col min="14603" max="14603" width="45.5" style="6" customWidth="1"/>
    <col min="14604" max="14604" width="24.625" style="6" customWidth="1"/>
    <col min="14605" max="14848" width="9" style="6"/>
    <col min="14849" max="14849" width="24.75" style="6" customWidth="1"/>
    <col min="14850" max="14850" width="5.125" style="6" bestFit="1" customWidth="1"/>
    <col min="14851" max="14853" width="5.125" style="6" customWidth="1"/>
    <col min="14854" max="14854" width="9.125" style="6" customWidth="1"/>
    <col min="14855" max="14858" width="5.125" style="6" customWidth="1"/>
    <col min="14859" max="14859" width="45.5" style="6" customWidth="1"/>
    <col min="14860" max="14860" width="24.625" style="6" customWidth="1"/>
    <col min="14861" max="15104" width="9" style="6"/>
    <col min="15105" max="15105" width="24.75" style="6" customWidth="1"/>
    <col min="15106" max="15106" width="5.125" style="6" bestFit="1" customWidth="1"/>
    <col min="15107" max="15109" width="5.125" style="6" customWidth="1"/>
    <col min="15110" max="15110" width="9.125" style="6" customWidth="1"/>
    <col min="15111" max="15114" width="5.125" style="6" customWidth="1"/>
    <col min="15115" max="15115" width="45.5" style="6" customWidth="1"/>
    <col min="15116" max="15116" width="24.625" style="6" customWidth="1"/>
    <col min="15117" max="15360" width="9" style="6"/>
    <col min="15361" max="15361" width="24.75" style="6" customWidth="1"/>
    <col min="15362" max="15362" width="5.125" style="6" bestFit="1" customWidth="1"/>
    <col min="15363" max="15365" width="5.125" style="6" customWidth="1"/>
    <col min="15366" max="15366" width="9.125" style="6" customWidth="1"/>
    <col min="15367" max="15370" width="5.125" style="6" customWidth="1"/>
    <col min="15371" max="15371" width="45.5" style="6" customWidth="1"/>
    <col min="15372" max="15372" width="24.625" style="6" customWidth="1"/>
    <col min="15373" max="15616" width="9" style="6"/>
    <col min="15617" max="15617" width="24.75" style="6" customWidth="1"/>
    <col min="15618" max="15618" width="5.125" style="6" bestFit="1" customWidth="1"/>
    <col min="15619" max="15621" width="5.125" style="6" customWidth="1"/>
    <col min="15622" max="15622" width="9.125" style="6" customWidth="1"/>
    <col min="15623" max="15626" width="5.125" style="6" customWidth="1"/>
    <col min="15627" max="15627" width="45.5" style="6" customWidth="1"/>
    <col min="15628" max="15628" width="24.625" style="6" customWidth="1"/>
    <col min="15629" max="15872" width="9" style="6"/>
    <col min="15873" max="15873" width="24.75" style="6" customWidth="1"/>
    <col min="15874" max="15874" width="5.125" style="6" bestFit="1" customWidth="1"/>
    <col min="15875" max="15877" width="5.125" style="6" customWidth="1"/>
    <col min="15878" max="15878" width="9.125" style="6" customWidth="1"/>
    <col min="15879" max="15882" width="5.125" style="6" customWidth="1"/>
    <col min="15883" max="15883" width="45.5" style="6" customWidth="1"/>
    <col min="15884" max="15884" width="24.625" style="6" customWidth="1"/>
    <col min="15885" max="16128" width="9" style="6"/>
    <col min="16129" max="16129" width="24.75" style="6" customWidth="1"/>
    <col min="16130" max="16130" width="5.125" style="6" bestFit="1" customWidth="1"/>
    <col min="16131" max="16133" width="5.125" style="6" customWidth="1"/>
    <col min="16134" max="16134" width="9.125" style="6" customWidth="1"/>
    <col min="16135" max="16138" width="5.125" style="6" customWidth="1"/>
    <col min="16139" max="16139" width="45.5" style="6" customWidth="1"/>
    <col min="16140" max="16140" width="24.625" style="6" customWidth="1"/>
    <col min="16141" max="16384" width="9" style="6"/>
  </cols>
  <sheetData>
    <row r="1" spans="1:16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1" t="s">
        <v>211</v>
      </c>
      <c r="L1" s="1" t="s">
        <v>14</v>
      </c>
      <c r="M1" s="11" t="s">
        <v>384</v>
      </c>
    </row>
    <row r="2" spans="1:16" ht="15" customHeight="1" x14ac:dyDescent="0.15">
      <c r="A2" s="1" t="s">
        <v>354</v>
      </c>
      <c r="B2" s="2">
        <v>284</v>
      </c>
      <c r="C2" s="2"/>
      <c r="D2" s="2"/>
      <c r="E2" s="2"/>
      <c r="F2" s="2"/>
      <c r="G2" s="2">
        <v>184</v>
      </c>
      <c r="H2" s="2"/>
      <c r="I2" s="2"/>
      <c r="J2" s="2"/>
      <c r="K2" s="1" t="s">
        <v>213</v>
      </c>
      <c r="L2" s="1" t="s">
        <v>111</v>
      </c>
      <c r="M2" s="11" t="s">
        <v>657</v>
      </c>
      <c r="N2" s="4"/>
      <c r="O2" s="4"/>
      <c r="P2" s="4"/>
    </row>
    <row r="3" spans="1:16" ht="15" customHeight="1" x14ac:dyDescent="0.15">
      <c r="A3" s="1" t="s">
        <v>355</v>
      </c>
      <c r="B3" s="2">
        <v>284</v>
      </c>
      <c r="C3" s="2"/>
      <c r="D3" s="2"/>
      <c r="E3" s="2"/>
      <c r="F3" s="2">
        <v>215</v>
      </c>
      <c r="G3" s="2"/>
      <c r="H3" s="2"/>
      <c r="I3" s="2"/>
      <c r="J3" s="2"/>
      <c r="K3" s="1" t="s">
        <v>215</v>
      </c>
      <c r="L3" s="1" t="s">
        <v>111</v>
      </c>
      <c r="M3" s="11"/>
      <c r="N3" s="4"/>
      <c r="O3" s="4"/>
      <c r="P3" s="4"/>
    </row>
    <row r="4" spans="1:16" ht="15" customHeight="1" x14ac:dyDescent="0.15">
      <c r="A4" s="1" t="s">
        <v>651</v>
      </c>
      <c r="B4" s="2">
        <v>277</v>
      </c>
      <c r="C4" s="2"/>
      <c r="D4" s="2"/>
      <c r="E4" s="2"/>
      <c r="F4" s="2"/>
      <c r="G4" s="2"/>
      <c r="H4" s="2">
        <v>172</v>
      </c>
      <c r="I4" s="2"/>
      <c r="J4" s="2"/>
      <c r="K4" s="1" t="s">
        <v>217</v>
      </c>
      <c r="L4" s="1" t="s">
        <v>59</v>
      </c>
      <c r="M4" s="11" t="s">
        <v>653</v>
      </c>
      <c r="N4" s="4"/>
      <c r="O4" s="4"/>
      <c r="P4" s="4"/>
    </row>
    <row r="5" spans="1:16" ht="15" customHeight="1" x14ac:dyDescent="0.15">
      <c r="A5" s="1" t="s">
        <v>356</v>
      </c>
      <c r="B5" s="2">
        <v>277</v>
      </c>
      <c r="C5" s="2"/>
      <c r="D5" s="2"/>
      <c r="E5" s="2"/>
      <c r="F5" s="2"/>
      <c r="G5" s="2"/>
      <c r="H5" s="2"/>
      <c r="I5" s="2"/>
      <c r="J5" s="2">
        <v>86</v>
      </c>
      <c r="K5" s="1" t="s">
        <v>219</v>
      </c>
      <c r="L5" s="1" t="s">
        <v>21</v>
      </c>
      <c r="M5" s="11"/>
      <c r="N5" s="4"/>
      <c r="O5" s="4"/>
      <c r="P5" s="4"/>
    </row>
    <row r="6" spans="1:16" ht="15" customHeight="1" x14ac:dyDescent="0.15">
      <c r="A6" s="1" t="s">
        <v>357</v>
      </c>
      <c r="B6" s="2">
        <v>277</v>
      </c>
      <c r="C6" s="2"/>
      <c r="D6" s="2"/>
      <c r="E6" s="2"/>
      <c r="F6" s="2"/>
      <c r="G6" s="2">
        <v>170</v>
      </c>
      <c r="H6" s="2"/>
      <c r="I6" s="2"/>
      <c r="J6" s="2"/>
      <c r="K6" s="1" t="s">
        <v>221</v>
      </c>
      <c r="L6" s="1" t="s">
        <v>39</v>
      </c>
      <c r="M6" s="11" t="s">
        <v>567</v>
      </c>
      <c r="N6" s="4"/>
      <c r="O6" s="4"/>
      <c r="P6" s="4"/>
    </row>
    <row r="7" spans="1:16" ht="15" customHeight="1" x14ac:dyDescent="0.15">
      <c r="A7" s="1" t="s">
        <v>358</v>
      </c>
      <c r="B7" s="2">
        <v>277</v>
      </c>
      <c r="C7" s="2"/>
      <c r="D7" s="2"/>
      <c r="E7" s="2"/>
      <c r="F7" s="2">
        <v>201</v>
      </c>
      <c r="G7" s="2"/>
      <c r="H7" s="2"/>
      <c r="I7" s="2"/>
      <c r="J7" s="2"/>
      <c r="K7" s="1" t="s">
        <v>223</v>
      </c>
      <c r="L7" s="1" t="s">
        <v>83</v>
      </c>
      <c r="M7" s="11"/>
      <c r="N7" s="4"/>
      <c r="O7" s="4"/>
      <c r="P7" s="4"/>
    </row>
    <row r="8" spans="1:16" ht="15" customHeight="1" x14ac:dyDescent="0.15">
      <c r="A8" s="1" t="s">
        <v>212</v>
      </c>
      <c r="B8" s="2">
        <v>271</v>
      </c>
      <c r="C8" s="2"/>
      <c r="D8" s="2"/>
      <c r="E8" s="2"/>
      <c r="F8" s="2"/>
      <c r="G8" s="2">
        <v>163</v>
      </c>
      <c r="H8" s="2"/>
      <c r="I8" s="2"/>
      <c r="J8" s="2"/>
      <c r="K8" s="1" t="s">
        <v>224</v>
      </c>
      <c r="L8" s="1" t="s">
        <v>117</v>
      </c>
      <c r="M8" s="11" t="s">
        <v>656</v>
      </c>
      <c r="N8" s="4"/>
      <c r="O8" s="4"/>
      <c r="P8" s="4"/>
    </row>
    <row r="9" spans="1:16" ht="15" customHeight="1" x14ac:dyDescent="0.15">
      <c r="A9" s="1" t="s">
        <v>214</v>
      </c>
      <c r="B9" s="2">
        <v>271</v>
      </c>
      <c r="C9" s="2"/>
      <c r="D9" s="2"/>
      <c r="E9" s="2"/>
      <c r="F9" s="2">
        <v>190</v>
      </c>
      <c r="G9" s="2"/>
      <c r="H9" s="2"/>
      <c r="I9" s="2"/>
      <c r="J9" s="2"/>
      <c r="K9" s="1" t="s">
        <v>215</v>
      </c>
      <c r="L9" s="1" t="s">
        <v>117</v>
      </c>
      <c r="M9" s="11"/>
      <c r="N9" s="4"/>
      <c r="O9" s="4"/>
      <c r="P9" s="4"/>
    </row>
    <row r="10" spans="1:16" ht="15" customHeight="1" x14ac:dyDescent="0.15">
      <c r="A10" s="1" t="s">
        <v>359</v>
      </c>
      <c r="B10" s="2">
        <v>264</v>
      </c>
      <c r="C10" s="2"/>
      <c r="D10" s="2"/>
      <c r="E10" s="2"/>
      <c r="F10" s="2"/>
      <c r="G10" s="2"/>
      <c r="H10" s="2">
        <v>152</v>
      </c>
      <c r="I10" s="2"/>
      <c r="J10" s="2"/>
      <c r="K10" s="1" t="s">
        <v>226</v>
      </c>
      <c r="L10" s="1" t="s">
        <v>51</v>
      </c>
      <c r="M10" s="11" t="s">
        <v>387</v>
      </c>
      <c r="N10" s="4"/>
      <c r="O10" s="4"/>
      <c r="P10" s="4"/>
    </row>
    <row r="11" spans="1:16" ht="15" customHeight="1" x14ac:dyDescent="0.15">
      <c r="A11" s="1" t="s">
        <v>360</v>
      </c>
      <c r="B11" s="2">
        <v>264</v>
      </c>
      <c r="C11" s="2"/>
      <c r="D11" s="2"/>
      <c r="E11" s="2"/>
      <c r="F11" s="2">
        <v>178</v>
      </c>
      <c r="G11" s="2"/>
      <c r="H11" s="2"/>
      <c r="I11" s="2"/>
      <c r="J11" s="2"/>
      <c r="K11" s="1" t="s">
        <v>228</v>
      </c>
      <c r="L11" s="1" t="s">
        <v>161</v>
      </c>
      <c r="M11" s="11"/>
      <c r="N11" s="4"/>
      <c r="O11" s="4"/>
      <c r="P11" s="4"/>
    </row>
    <row r="12" spans="1:16" ht="15" customHeight="1" x14ac:dyDescent="0.15">
      <c r="A12" s="1" t="s">
        <v>216</v>
      </c>
      <c r="B12" s="2">
        <v>264</v>
      </c>
      <c r="C12" s="2"/>
      <c r="D12" s="2"/>
      <c r="E12" s="2"/>
      <c r="F12" s="2"/>
      <c r="G12" s="2"/>
      <c r="H12" s="2">
        <v>152</v>
      </c>
      <c r="I12" s="2"/>
      <c r="J12" s="2"/>
      <c r="K12" s="1" t="s">
        <v>229</v>
      </c>
      <c r="L12" s="1" t="s">
        <v>64</v>
      </c>
      <c r="M12" s="11" t="s">
        <v>652</v>
      </c>
      <c r="N12" s="4"/>
      <c r="O12" s="4"/>
      <c r="P12" s="4"/>
    </row>
    <row r="13" spans="1:16" ht="15" customHeight="1" x14ac:dyDescent="0.15">
      <c r="A13" s="1" t="s">
        <v>218</v>
      </c>
      <c r="B13" s="2">
        <v>264</v>
      </c>
      <c r="C13" s="2"/>
      <c r="D13" s="2"/>
      <c r="E13" s="2"/>
      <c r="F13" s="2"/>
      <c r="G13" s="2"/>
      <c r="H13" s="2"/>
      <c r="I13" s="2"/>
      <c r="J13" s="2">
        <v>76</v>
      </c>
      <c r="K13" s="1" t="s">
        <v>219</v>
      </c>
      <c r="L13" s="1" t="s">
        <v>31</v>
      </c>
      <c r="M13" s="11"/>
      <c r="N13" s="4"/>
      <c r="O13" s="4"/>
      <c r="P13" s="4"/>
    </row>
    <row r="14" spans="1:16" ht="15" customHeight="1" x14ac:dyDescent="0.15">
      <c r="A14" s="1" t="s">
        <v>220</v>
      </c>
      <c r="B14" s="2">
        <v>264</v>
      </c>
      <c r="C14" s="2"/>
      <c r="D14" s="2"/>
      <c r="E14" s="2"/>
      <c r="F14" s="2"/>
      <c r="G14" s="2">
        <v>155</v>
      </c>
      <c r="H14" s="2"/>
      <c r="I14" s="2"/>
      <c r="J14" s="2"/>
      <c r="K14" s="1" t="s">
        <v>230</v>
      </c>
      <c r="L14" s="1" t="s">
        <v>52</v>
      </c>
      <c r="M14" s="11" t="s">
        <v>386</v>
      </c>
      <c r="N14" s="4"/>
      <c r="O14" s="4"/>
      <c r="P14" s="4"/>
    </row>
    <row r="15" spans="1:16" ht="15" customHeight="1" x14ac:dyDescent="0.15">
      <c r="A15" s="1" t="s">
        <v>222</v>
      </c>
      <c r="B15" s="2">
        <v>264</v>
      </c>
      <c r="C15" s="2"/>
      <c r="D15" s="2"/>
      <c r="E15" s="2"/>
      <c r="F15" s="2">
        <v>179</v>
      </c>
      <c r="G15" s="2"/>
      <c r="H15" s="2"/>
      <c r="I15" s="2"/>
      <c r="J15" s="2"/>
      <c r="K15" s="1" t="s">
        <v>231</v>
      </c>
      <c r="L15" s="1" t="s">
        <v>88</v>
      </c>
      <c r="M15" s="11"/>
      <c r="N15" s="4"/>
      <c r="O15" s="4"/>
      <c r="P15" s="4"/>
    </row>
    <row r="16" spans="1:16" ht="15" customHeight="1" x14ac:dyDescent="0.15">
      <c r="A16" s="1" t="s">
        <v>232</v>
      </c>
      <c r="B16" s="2">
        <v>264</v>
      </c>
      <c r="C16" s="2"/>
      <c r="D16" s="2"/>
      <c r="E16" s="2"/>
      <c r="F16" s="2"/>
      <c r="G16" s="2"/>
      <c r="H16" s="2"/>
      <c r="I16" s="2">
        <v>152</v>
      </c>
      <c r="J16" s="2"/>
      <c r="K16" s="1" t="s">
        <v>233</v>
      </c>
      <c r="L16" s="1" t="s">
        <v>152</v>
      </c>
      <c r="M16" s="11" t="s">
        <v>658</v>
      </c>
      <c r="N16" s="4"/>
      <c r="O16" s="4"/>
      <c r="P16" s="4"/>
    </row>
    <row r="17" spans="1:16" ht="15" customHeight="1" x14ac:dyDescent="0.15">
      <c r="A17" s="1" t="s">
        <v>234</v>
      </c>
      <c r="B17" s="2">
        <v>264</v>
      </c>
      <c r="C17" s="2"/>
      <c r="D17" s="2"/>
      <c r="E17" s="2"/>
      <c r="F17" s="2">
        <v>179</v>
      </c>
      <c r="G17" s="2"/>
      <c r="H17" s="2"/>
      <c r="I17" s="2"/>
      <c r="J17" s="2"/>
      <c r="K17" s="1" t="s">
        <v>235</v>
      </c>
      <c r="L17" s="1" t="s">
        <v>152</v>
      </c>
      <c r="M17" s="11"/>
      <c r="N17" s="4"/>
      <c r="O17" s="4"/>
      <c r="P17" s="4"/>
    </row>
    <row r="18" spans="1:16" ht="15" customHeight="1" x14ac:dyDescent="0.15">
      <c r="A18" s="1" t="s">
        <v>225</v>
      </c>
      <c r="B18" s="2">
        <v>251</v>
      </c>
      <c r="C18" s="2"/>
      <c r="D18" s="2"/>
      <c r="E18" s="2"/>
      <c r="F18" s="2"/>
      <c r="G18" s="2"/>
      <c r="H18" s="2">
        <v>131</v>
      </c>
      <c r="I18" s="2"/>
      <c r="J18" s="2"/>
      <c r="K18" s="1" t="s">
        <v>236</v>
      </c>
      <c r="L18" s="1" t="s">
        <v>57</v>
      </c>
      <c r="M18" s="11" t="s">
        <v>385</v>
      </c>
      <c r="N18" s="4"/>
      <c r="O18" s="4"/>
      <c r="P18" s="4"/>
    </row>
    <row r="19" spans="1:16" ht="15" customHeight="1" x14ac:dyDescent="0.15">
      <c r="A19" s="1" t="s">
        <v>227</v>
      </c>
      <c r="B19" s="2">
        <v>251</v>
      </c>
      <c r="C19" s="2"/>
      <c r="D19" s="2"/>
      <c r="E19" s="2"/>
      <c r="F19" s="2">
        <v>158</v>
      </c>
      <c r="G19" s="2"/>
      <c r="H19" s="2"/>
      <c r="I19" s="2"/>
      <c r="J19" s="2"/>
      <c r="K19" s="1" t="s">
        <v>237</v>
      </c>
      <c r="L19" s="1" t="s">
        <v>164</v>
      </c>
      <c r="M19" s="11"/>
      <c r="N19" s="4"/>
      <c r="O19" s="4"/>
      <c r="P19" s="4"/>
    </row>
    <row r="20" spans="1:16" ht="15" customHeight="1" x14ac:dyDescent="0.15">
      <c r="A20" s="62" t="s">
        <v>659</v>
      </c>
      <c r="B20" s="11">
        <v>258</v>
      </c>
      <c r="C20" s="11"/>
      <c r="D20" s="11"/>
      <c r="E20" s="11"/>
      <c r="F20" s="11">
        <v>168</v>
      </c>
      <c r="G20" s="11"/>
      <c r="H20" s="11"/>
      <c r="I20" s="11"/>
      <c r="J20" s="11"/>
      <c r="K20" s="62" t="s">
        <v>660</v>
      </c>
      <c r="L20" s="62" t="s">
        <v>661</v>
      </c>
      <c r="M20" s="11"/>
      <c r="N20" s="4"/>
      <c r="O20" s="4"/>
      <c r="P20" s="4"/>
    </row>
    <row r="21" spans="1:16" ht="15" customHeight="1" x14ac:dyDescent="0.15">
      <c r="A21" s="62" t="s">
        <v>662</v>
      </c>
      <c r="B21" s="11">
        <v>245</v>
      </c>
      <c r="C21" s="11"/>
      <c r="D21" s="11"/>
      <c r="E21" s="11"/>
      <c r="F21" s="11">
        <v>150</v>
      </c>
      <c r="G21" s="11"/>
      <c r="H21" s="11"/>
      <c r="I21" s="11"/>
      <c r="J21" s="11"/>
      <c r="K21" s="62" t="s">
        <v>663</v>
      </c>
      <c r="L21" s="62" t="s">
        <v>664</v>
      </c>
      <c r="M21" s="11"/>
      <c r="N21" s="4"/>
      <c r="O21" s="4"/>
      <c r="P21" s="4"/>
    </row>
    <row r="22" spans="1:16" ht="15" customHeight="1" x14ac:dyDescent="0.15">
      <c r="A22" s="62" t="s">
        <v>665</v>
      </c>
      <c r="B22" s="11">
        <v>200</v>
      </c>
      <c r="C22" s="11"/>
      <c r="D22" s="11"/>
      <c r="E22" s="11"/>
      <c r="F22" s="11"/>
      <c r="G22" s="11">
        <v>84</v>
      </c>
      <c r="H22" s="11"/>
      <c r="I22" s="11"/>
      <c r="J22" s="11"/>
      <c r="K22" s="62" t="s">
        <v>668</v>
      </c>
      <c r="L22" s="62" t="s">
        <v>666</v>
      </c>
      <c r="M22" s="11" t="s">
        <v>667</v>
      </c>
      <c r="N22" s="4"/>
      <c r="O22" s="4"/>
      <c r="P22" s="4"/>
    </row>
    <row r="23" spans="1:16" ht="15" customHeight="1" x14ac:dyDescent="0.15">
      <c r="A23" s="62" t="s">
        <v>669</v>
      </c>
      <c r="B23" s="11">
        <v>232</v>
      </c>
      <c r="C23" s="11"/>
      <c r="D23" s="11"/>
      <c r="E23" s="11"/>
      <c r="F23" s="11">
        <v>111</v>
      </c>
      <c r="G23" s="11"/>
      <c r="H23" s="11"/>
      <c r="I23" s="11"/>
      <c r="J23" s="11"/>
      <c r="K23" s="62" t="s">
        <v>670</v>
      </c>
      <c r="L23" s="62" t="s">
        <v>671</v>
      </c>
      <c r="M23" s="11" t="s">
        <v>672</v>
      </c>
      <c r="N23" s="4"/>
      <c r="O23" s="4"/>
      <c r="P23" s="4"/>
    </row>
    <row r="24" spans="1:16" ht="15" customHeight="1" x14ac:dyDescent="0.15">
      <c r="A24" s="62" t="s">
        <v>673</v>
      </c>
      <c r="B24" s="11">
        <v>245</v>
      </c>
      <c r="C24" s="11"/>
      <c r="D24" s="11"/>
      <c r="E24" s="11"/>
      <c r="F24" s="11">
        <v>150</v>
      </c>
      <c r="G24" s="11"/>
      <c r="H24" s="11"/>
      <c r="I24" s="11"/>
      <c r="J24" s="11"/>
      <c r="K24" s="62" t="s">
        <v>675</v>
      </c>
      <c r="L24" s="62" t="s">
        <v>664</v>
      </c>
      <c r="M24" s="11" t="s">
        <v>676</v>
      </c>
      <c r="N24" s="4"/>
      <c r="O24" s="4"/>
      <c r="P24" s="4"/>
    </row>
    <row r="25" spans="1:16" ht="15" customHeight="1" x14ac:dyDescent="0.15">
      <c r="A25" s="62" t="s">
        <v>677</v>
      </c>
      <c r="B25" s="11">
        <v>258</v>
      </c>
      <c r="C25" s="11"/>
      <c r="D25" s="11"/>
      <c r="E25" s="11"/>
      <c r="F25" s="11">
        <v>168</v>
      </c>
      <c r="G25" s="11"/>
      <c r="H25" s="11"/>
      <c r="I25" s="11"/>
      <c r="J25" s="11"/>
      <c r="K25" s="62" t="s">
        <v>674</v>
      </c>
      <c r="L25" s="62" t="s">
        <v>678</v>
      </c>
      <c r="M25" s="11" t="s">
        <v>679</v>
      </c>
      <c r="N25" s="4"/>
      <c r="O25" s="4"/>
      <c r="P25" s="4"/>
    </row>
    <row r="26" spans="1:16" ht="15" customHeight="1" x14ac:dyDescent="0.15">
      <c r="A26" s="62" t="s">
        <v>682</v>
      </c>
      <c r="B26" s="11">
        <v>245</v>
      </c>
      <c r="C26" s="11"/>
      <c r="D26" s="11"/>
      <c r="E26" s="11"/>
      <c r="F26" s="11">
        <v>150</v>
      </c>
      <c r="G26" s="11"/>
      <c r="H26" s="11"/>
      <c r="I26" s="11"/>
      <c r="J26" s="11"/>
      <c r="K26" s="62" t="s">
        <v>687</v>
      </c>
      <c r="L26" s="62" t="s">
        <v>683</v>
      </c>
      <c r="M26" s="11"/>
      <c r="N26" s="4"/>
      <c r="O26" s="4"/>
      <c r="P26" s="4"/>
    </row>
    <row r="27" spans="1:16" ht="15" customHeight="1" x14ac:dyDescent="0.15">
      <c r="A27" s="62" t="s">
        <v>684</v>
      </c>
      <c r="B27" s="11">
        <v>245</v>
      </c>
      <c r="C27" s="11"/>
      <c r="D27" s="11"/>
      <c r="E27" s="11"/>
      <c r="F27" s="11"/>
      <c r="G27" s="11"/>
      <c r="H27" s="11">
        <v>128</v>
      </c>
      <c r="I27" s="11"/>
      <c r="J27" s="11"/>
      <c r="K27" s="62" t="s">
        <v>688</v>
      </c>
      <c r="L27" s="62" t="s">
        <v>683</v>
      </c>
      <c r="M27" s="11"/>
      <c r="N27" s="4"/>
      <c r="O27" s="4"/>
      <c r="P27" s="4"/>
    </row>
    <row r="28" spans="1:16" ht="15" customHeight="1" x14ac:dyDescent="0.15">
      <c r="A28" s="62" t="s">
        <v>685</v>
      </c>
      <c r="B28" s="11">
        <v>245</v>
      </c>
      <c r="C28" s="11"/>
      <c r="D28" s="11"/>
      <c r="E28" s="11"/>
      <c r="F28" s="11"/>
      <c r="G28" s="11">
        <v>128</v>
      </c>
      <c r="H28" s="11"/>
      <c r="I28" s="11"/>
      <c r="J28" s="11"/>
      <c r="K28" s="62" t="s">
        <v>689</v>
      </c>
      <c r="L28" s="62" t="s">
        <v>683</v>
      </c>
      <c r="M28" s="11"/>
      <c r="N28" s="4"/>
      <c r="O28" s="4"/>
      <c r="P28" s="4"/>
    </row>
    <row r="29" spans="1:16" ht="15" customHeight="1" x14ac:dyDescent="0.15">
      <c r="A29" s="62" t="s">
        <v>686</v>
      </c>
      <c r="B29" s="11">
        <v>245</v>
      </c>
      <c r="C29" s="11"/>
      <c r="D29" s="11"/>
      <c r="E29" s="11"/>
      <c r="F29" s="11"/>
      <c r="G29" s="11"/>
      <c r="H29" s="11"/>
      <c r="I29" s="11">
        <v>128</v>
      </c>
      <c r="J29" s="11"/>
      <c r="K29" s="62" t="s">
        <v>690</v>
      </c>
      <c r="L29" s="62" t="s">
        <v>683</v>
      </c>
      <c r="M29" s="11"/>
      <c r="N29" s="4"/>
      <c r="O29" s="4"/>
      <c r="P29" s="4"/>
    </row>
    <row r="30" spans="1:16" ht="15" customHeight="1" x14ac:dyDescent="0.15">
      <c r="A30" s="62" t="s">
        <v>691</v>
      </c>
      <c r="B30" s="11">
        <v>239</v>
      </c>
      <c r="C30" s="11"/>
      <c r="D30" s="11"/>
      <c r="E30" s="11"/>
      <c r="F30" s="11"/>
      <c r="G30" s="11"/>
      <c r="H30" s="11">
        <v>120</v>
      </c>
      <c r="I30" s="11"/>
      <c r="J30" s="11"/>
      <c r="K30" s="62" t="s">
        <v>692</v>
      </c>
      <c r="L30" s="62" t="s">
        <v>693</v>
      </c>
      <c r="M30" s="11" t="s">
        <v>709</v>
      </c>
      <c r="N30" s="4"/>
      <c r="O30" s="4"/>
      <c r="P30" s="4"/>
    </row>
    <row r="31" spans="1:16" ht="15" customHeight="1" x14ac:dyDescent="0.15">
      <c r="A31" s="62" t="s">
        <v>694</v>
      </c>
      <c r="B31" s="11">
        <v>245</v>
      </c>
      <c r="C31" s="11"/>
      <c r="D31" s="11">
        <v>128</v>
      </c>
      <c r="E31" s="11"/>
      <c r="F31" s="11"/>
      <c r="G31" s="11"/>
      <c r="H31" s="11"/>
      <c r="I31" s="11"/>
      <c r="J31" s="11"/>
      <c r="K31" s="62" t="s">
        <v>695</v>
      </c>
      <c r="L31" s="62" t="s">
        <v>696</v>
      </c>
      <c r="M31" s="11" t="s">
        <v>705</v>
      </c>
      <c r="N31" s="4"/>
      <c r="O31" s="4"/>
      <c r="P31" s="4"/>
    </row>
    <row r="32" spans="1:16" ht="15" customHeight="1" x14ac:dyDescent="0.15">
      <c r="A32" s="62" t="s">
        <v>697</v>
      </c>
      <c r="B32" s="11">
        <v>245</v>
      </c>
      <c r="C32" s="11"/>
      <c r="D32" s="11"/>
      <c r="E32" s="11"/>
      <c r="F32" s="11"/>
      <c r="G32" s="11"/>
      <c r="H32" s="11"/>
      <c r="I32" s="11">
        <v>128</v>
      </c>
      <c r="J32" s="11"/>
      <c r="K32" s="62" t="s">
        <v>698</v>
      </c>
      <c r="L32" s="62" t="s">
        <v>696</v>
      </c>
      <c r="M32" s="11" t="s">
        <v>706</v>
      </c>
      <c r="N32" s="4"/>
      <c r="O32" s="4"/>
      <c r="P32" s="4"/>
    </row>
    <row r="33" spans="1:16" ht="15" customHeight="1" x14ac:dyDescent="0.15">
      <c r="A33" s="62" t="s">
        <v>699</v>
      </c>
      <c r="B33" s="11">
        <v>232</v>
      </c>
      <c r="C33" s="11"/>
      <c r="D33" s="11"/>
      <c r="E33" s="11"/>
      <c r="F33" s="11">
        <v>125</v>
      </c>
      <c r="G33" s="11"/>
      <c r="H33" s="11"/>
      <c r="I33" s="11"/>
      <c r="J33" s="11"/>
      <c r="K33" s="62" t="s">
        <v>700</v>
      </c>
      <c r="L33" s="62" t="s">
        <v>701</v>
      </c>
      <c r="M33" s="11" t="s">
        <v>707</v>
      </c>
      <c r="N33" s="4"/>
      <c r="O33" s="4"/>
      <c r="P33" s="4"/>
    </row>
    <row r="34" spans="1:16" ht="15" customHeight="1" x14ac:dyDescent="0.15">
      <c r="A34" s="62" t="s">
        <v>702</v>
      </c>
      <c r="B34" s="11">
        <v>219</v>
      </c>
      <c r="C34" s="11"/>
      <c r="D34" s="11"/>
      <c r="E34" s="11"/>
      <c r="F34" s="11"/>
      <c r="G34" s="11"/>
      <c r="H34" s="11">
        <v>87</v>
      </c>
      <c r="I34" s="11"/>
      <c r="J34" s="11"/>
      <c r="K34" s="62" t="s">
        <v>703</v>
      </c>
      <c r="L34" s="62" t="s">
        <v>701</v>
      </c>
      <c r="M34" s="11" t="s">
        <v>708</v>
      </c>
      <c r="N34" s="4"/>
      <c r="O34" s="4"/>
      <c r="P34" s="4"/>
    </row>
    <row r="35" spans="1:16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1"/>
      <c r="L35" s="1"/>
      <c r="M35" s="4"/>
      <c r="N35" s="4"/>
      <c r="O35" s="4"/>
      <c r="P35" s="4"/>
    </row>
    <row r="36" spans="1:16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3"/>
      <c r="L36" s="1"/>
      <c r="M36" s="4"/>
      <c r="N36" s="4"/>
      <c r="O36" s="4"/>
      <c r="P36" s="4"/>
    </row>
    <row r="37" spans="1:16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1"/>
      <c r="L37" s="1"/>
      <c r="M37" s="4"/>
      <c r="N37" s="4"/>
      <c r="O37" s="4"/>
      <c r="P37" s="4"/>
    </row>
    <row r="38" spans="1:16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1"/>
      <c r="L38" s="1"/>
      <c r="M38" s="4"/>
      <c r="N38" s="4"/>
      <c r="O38" s="4"/>
      <c r="P38" s="4"/>
    </row>
    <row r="39" spans="1:16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1"/>
      <c r="L39" s="1"/>
      <c r="M39" s="4"/>
      <c r="N39" s="4"/>
      <c r="O39" s="4"/>
      <c r="P39" s="4"/>
    </row>
    <row r="40" spans="1:16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1"/>
      <c r="L40" s="1"/>
      <c r="M40" s="4"/>
      <c r="N40" s="4"/>
      <c r="O40" s="4"/>
      <c r="P40" s="4"/>
    </row>
    <row r="41" spans="1:16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1"/>
      <c r="L41" s="1"/>
      <c r="M41" s="4"/>
      <c r="N41" s="4"/>
      <c r="O41" s="4"/>
      <c r="P41" s="4"/>
    </row>
    <row r="42" spans="1:16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1"/>
      <c r="L42" s="1"/>
      <c r="M42" s="4"/>
      <c r="N42" s="4"/>
      <c r="O42" s="4"/>
      <c r="P42" s="4"/>
    </row>
    <row r="43" spans="1:16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1"/>
      <c r="L43" s="1"/>
      <c r="M43" s="4"/>
      <c r="N43" s="4"/>
      <c r="O43" s="4"/>
      <c r="P43" s="4"/>
    </row>
    <row r="44" spans="1:16" ht="15" customHeight="1" x14ac:dyDescent="0.15">
      <c r="A44" s="1"/>
      <c r="B44" s="2"/>
      <c r="C44" s="2"/>
      <c r="D44" s="2"/>
      <c r="E44" s="2"/>
      <c r="F44" s="2"/>
      <c r="G44" s="2"/>
      <c r="H44" s="2"/>
      <c r="I44" s="2"/>
      <c r="J44" s="2"/>
      <c r="K44" s="1"/>
      <c r="L44" s="1"/>
      <c r="M44" s="4"/>
      <c r="N44" s="4"/>
      <c r="O44" s="4"/>
      <c r="P44" s="4"/>
    </row>
    <row r="45" spans="1:16" ht="15" customHeight="1" x14ac:dyDescent="0.15">
      <c r="A45" s="1"/>
      <c r="B45" s="2"/>
      <c r="C45" s="2"/>
      <c r="D45" s="2"/>
      <c r="E45" s="2"/>
      <c r="F45" s="2"/>
      <c r="G45" s="2"/>
      <c r="H45" s="2"/>
      <c r="I45" s="2"/>
      <c r="J45" s="2"/>
      <c r="K45" s="1"/>
      <c r="L45" s="1"/>
      <c r="M45" s="4"/>
      <c r="N45" s="4"/>
      <c r="O45" s="4"/>
      <c r="P45" s="4"/>
    </row>
    <row r="46" spans="1:16" ht="15" customHeight="1" x14ac:dyDescent="0.15">
      <c r="A46" s="1"/>
      <c r="B46" s="2"/>
      <c r="C46" s="2"/>
      <c r="D46" s="2"/>
      <c r="E46" s="2"/>
      <c r="F46" s="2"/>
      <c r="G46" s="2"/>
      <c r="H46" s="2"/>
      <c r="I46" s="2"/>
      <c r="J46" s="2"/>
      <c r="K46" s="1"/>
      <c r="L46" s="1"/>
      <c r="M46" s="4"/>
      <c r="N46" s="4"/>
      <c r="O46" s="4"/>
      <c r="P46" s="4"/>
    </row>
    <row r="47" spans="1:16" ht="15" customHeight="1" x14ac:dyDescent="0.15">
      <c r="A47" s="1"/>
      <c r="B47" s="2"/>
      <c r="C47" s="2"/>
      <c r="D47" s="2"/>
      <c r="E47" s="2"/>
      <c r="F47" s="2"/>
      <c r="G47" s="2"/>
      <c r="H47" s="2"/>
      <c r="I47" s="2"/>
      <c r="J47" s="2"/>
      <c r="K47" s="1"/>
      <c r="L47" s="1"/>
      <c r="M47" s="4"/>
      <c r="N47" s="4"/>
      <c r="O47" s="4"/>
      <c r="P47" s="4"/>
    </row>
    <row r="48" spans="1:16" ht="15" customHeight="1" x14ac:dyDescent="0.15">
      <c r="A48" s="1"/>
      <c r="B48" s="2"/>
      <c r="C48" s="2"/>
      <c r="D48" s="2"/>
      <c r="E48" s="2"/>
      <c r="F48" s="2"/>
      <c r="G48" s="2"/>
      <c r="H48" s="2"/>
      <c r="I48" s="2"/>
      <c r="J48" s="2"/>
      <c r="K48" s="1"/>
      <c r="L48" s="1"/>
      <c r="M48" s="4"/>
      <c r="N48" s="4"/>
      <c r="O48" s="4"/>
      <c r="P48" s="4"/>
    </row>
    <row r="49" spans="1:16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1"/>
      <c r="L49" s="1"/>
      <c r="M49" s="4"/>
      <c r="N49" s="4"/>
      <c r="O49" s="4"/>
      <c r="P49" s="4"/>
    </row>
    <row r="50" spans="1:16" ht="15" customHeight="1" x14ac:dyDescent="0.15">
      <c r="A50" s="1"/>
      <c r="B50" s="2"/>
      <c r="C50" s="2"/>
      <c r="D50" s="2"/>
      <c r="E50" s="2"/>
      <c r="F50" s="2"/>
      <c r="G50" s="2"/>
      <c r="H50" s="2"/>
      <c r="I50" s="2"/>
      <c r="J50" s="2"/>
      <c r="K50" s="1"/>
      <c r="L50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6"/>
  <sheetViews>
    <sheetView workbookViewId="0">
      <selection activeCell="A28" sqref="A28"/>
    </sheetView>
  </sheetViews>
  <sheetFormatPr defaultRowHeight="13.5" x14ac:dyDescent="0.15"/>
  <cols>
    <col min="1" max="1" width="42" customWidth="1"/>
    <col min="6" max="6" width="10.25" customWidth="1"/>
  </cols>
  <sheetData>
    <row r="1" spans="1:9" ht="15" x14ac:dyDescent="0.15">
      <c r="A1" s="9" t="s">
        <v>0</v>
      </c>
      <c r="B1" s="10" t="s">
        <v>361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</row>
    <row r="2" spans="1:9" x14ac:dyDescent="0.15">
      <c r="A2" t="s">
        <v>371</v>
      </c>
      <c r="B2" t="s">
        <v>362</v>
      </c>
      <c r="F2">
        <v>23</v>
      </c>
    </row>
    <row r="3" spans="1:9" x14ac:dyDescent="0.15">
      <c r="A3" t="s">
        <v>372</v>
      </c>
      <c r="B3" t="s">
        <v>363</v>
      </c>
      <c r="F3">
        <v>12</v>
      </c>
      <c r="G3">
        <v>10</v>
      </c>
    </row>
    <row r="4" spans="1:9" x14ac:dyDescent="0.15">
      <c r="A4" t="s">
        <v>373</v>
      </c>
      <c r="B4" t="s">
        <v>363</v>
      </c>
      <c r="F4">
        <v>12</v>
      </c>
      <c r="H4">
        <v>10</v>
      </c>
    </row>
    <row r="5" spans="1:9" x14ac:dyDescent="0.15">
      <c r="A5" t="s">
        <v>374</v>
      </c>
      <c r="B5" t="s">
        <v>363</v>
      </c>
      <c r="F5">
        <v>12</v>
      </c>
      <c r="I5">
        <v>10</v>
      </c>
    </row>
    <row r="6" spans="1:9" x14ac:dyDescent="0.15">
      <c r="A6" t="s">
        <v>380</v>
      </c>
      <c r="B6" t="s">
        <v>381</v>
      </c>
      <c r="D6">
        <v>10</v>
      </c>
      <c r="F6">
        <v>12</v>
      </c>
    </row>
    <row r="7" spans="1:9" x14ac:dyDescent="0.15">
      <c r="A7" t="s">
        <v>375</v>
      </c>
      <c r="B7" t="s">
        <v>364</v>
      </c>
      <c r="G7">
        <v>20</v>
      </c>
    </row>
    <row r="8" spans="1:9" x14ac:dyDescent="0.15">
      <c r="A8" t="s">
        <v>376</v>
      </c>
      <c r="B8" t="s">
        <v>364</v>
      </c>
      <c r="H8">
        <v>20</v>
      </c>
    </row>
    <row r="9" spans="1:9" x14ac:dyDescent="0.15">
      <c r="A9" t="s">
        <v>377</v>
      </c>
      <c r="B9" t="s">
        <v>365</v>
      </c>
      <c r="I9">
        <v>20</v>
      </c>
    </row>
    <row r="10" spans="1:9" x14ac:dyDescent="0.15">
      <c r="A10" t="s">
        <v>379</v>
      </c>
      <c r="B10" t="s">
        <v>366</v>
      </c>
      <c r="E10">
        <v>10</v>
      </c>
      <c r="F10">
        <v>12</v>
      </c>
    </row>
    <row r="11" spans="1:9" x14ac:dyDescent="0.15">
      <c r="A11" t="s">
        <v>382</v>
      </c>
      <c r="B11" t="s">
        <v>367</v>
      </c>
      <c r="E11">
        <v>20</v>
      </c>
    </row>
    <row r="12" spans="1:9" x14ac:dyDescent="0.15">
      <c r="A12" t="s">
        <v>390</v>
      </c>
    </row>
    <row r="13" spans="1:9" x14ac:dyDescent="0.15">
      <c r="A13" t="s">
        <v>535</v>
      </c>
      <c r="B13" t="s">
        <v>536</v>
      </c>
      <c r="F13">
        <v>39</v>
      </c>
    </row>
    <row r="14" spans="1:9" x14ac:dyDescent="0.15">
      <c r="A14" t="s">
        <v>554</v>
      </c>
      <c r="B14" t="s">
        <v>557</v>
      </c>
      <c r="D14">
        <v>34</v>
      </c>
    </row>
    <row r="15" spans="1:9" x14ac:dyDescent="0.15">
      <c r="A15" t="s">
        <v>555</v>
      </c>
      <c r="B15" t="s">
        <v>557</v>
      </c>
      <c r="G15">
        <v>34</v>
      </c>
    </row>
    <row r="16" spans="1:9" x14ac:dyDescent="0.15">
      <c r="A16" t="s">
        <v>556</v>
      </c>
      <c r="B16" t="s">
        <v>558</v>
      </c>
      <c r="E16">
        <v>34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6"/>
  <sheetViews>
    <sheetView workbookViewId="0">
      <selection activeCell="B2" sqref="B2"/>
    </sheetView>
  </sheetViews>
  <sheetFormatPr defaultRowHeight="13.5" x14ac:dyDescent="0.15"/>
  <cols>
    <col min="1" max="1" width="19.875" customWidth="1"/>
    <col min="2" max="2" width="17.375" customWidth="1"/>
    <col min="6" max="6" width="10.25" customWidth="1"/>
    <col min="10" max="10" width="19.625" customWidth="1"/>
  </cols>
  <sheetData>
    <row r="1" spans="1:10" ht="15" x14ac:dyDescent="0.15">
      <c r="A1" s="48" t="s">
        <v>0</v>
      </c>
      <c r="B1" s="16" t="s">
        <v>397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51" t="s">
        <v>8</v>
      </c>
      <c r="J1" s="52" t="s">
        <v>525</v>
      </c>
    </row>
    <row r="2" spans="1:10" x14ac:dyDescent="0.15">
      <c r="A2" s="44" t="s">
        <v>523</v>
      </c>
      <c r="B2" s="44"/>
      <c r="C2" s="44"/>
      <c r="D2" s="44"/>
      <c r="E2" s="44"/>
      <c r="F2" s="44"/>
      <c r="G2" s="44"/>
      <c r="H2" s="44">
        <v>24</v>
      </c>
      <c r="I2" s="45"/>
      <c r="J2" s="14" t="s">
        <v>526</v>
      </c>
    </row>
    <row r="3" spans="1:10" x14ac:dyDescent="0.15">
      <c r="A3" s="46" t="s">
        <v>524</v>
      </c>
      <c r="B3" s="46" t="s">
        <v>543</v>
      </c>
      <c r="C3" s="46"/>
      <c r="D3" s="46"/>
      <c r="E3" s="46"/>
      <c r="F3" s="46">
        <v>25</v>
      </c>
      <c r="G3" s="46"/>
      <c r="H3" s="46"/>
      <c r="I3" s="47"/>
      <c r="J3" s="53" t="s">
        <v>527</v>
      </c>
    </row>
    <row r="4" spans="1:10" x14ac:dyDescent="0.15">
      <c r="A4" s="44" t="s">
        <v>528</v>
      </c>
      <c r="B4" s="44"/>
      <c r="C4" s="44"/>
      <c r="D4" s="44">
        <v>21</v>
      </c>
      <c r="E4" s="44"/>
      <c r="F4" s="44"/>
      <c r="G4" s="44"/>
      <c r="H4" s="44"/>
      <c r="I4" s="45"/>
      <c r="J4" t="s">
        <v>529</v>
      </c>
    </row>
    <row r="5" spans="1:10" x14ac:dyDescent="0.15">
      <c r="A5" s="46" t="s">
        <v>530</v>
      </c>
      <c r="B5" s="46"/>
      <c r="C5" s="46"/>
      <c r="D5" s="46"/>
      <c r="E5" s="46"/>
      <c r="F5" s="46">
        <v>25</v>
      </c>
      <c r="G5" s="46"/>
      <c r="H5" s="46"/>
      <c r="I5" s="47">
        <v>0</v>
      </c>
      <c r="J5" s="14" t="s">
        <v>531</v>
      </c>
    </row>
    <row r="6" spans="1:10" x14ac:dyDescent="0.15">
      <c r="A6" s="44" t="s">
        <v>532</v>
      </c>
      <c r="B6" s="44" t="s">
        <v>542</v>
      </c>
      <c r="C6" s="44"/>
      <c r="D6" s="44"/>
      <c r="E6" s="44"/>
      <c r="F6" s="44"/>
      <c r="G6" s="44"/>
      <c r="H6" s="44">
        <v>21</v>
      </c>
      <c r="I6" s="45"/>
      <c r="J6" s="14" t="s">
        <v>533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8"/>
  <sheetViews>
    <sheetView workbookViewId="0">
      <selection activeCell="N42" sqref="N42"/>
    </sheetView>
  </sheetViews>
  <sheetFormatPr defaultRowHeight="13.5" x14ac:dyDescent="0.15"/>
  <cols>
    <col min="1" max="1" width="16.625" customWidth="1"/>
    <col min="2" max="2" width="20.625" customWidth="1"/>
    <col min="6" max="6" width="10.25" customWidth="1"/>
  </cols>
  <sheetData>
    <row r="1" spans="1:9" ht="15" x14ac:dyDescent="0.15">
      <c r="A1" s="9" t="s">
        <v>0</v>
      </c>
      <c r="B1" s="10" t="s">
        <v>397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1" t="s">
        <v>8</v>
      </c>
    </row>
    <row r="2" spans="1:9" x14ac:dyDescent="0.15">
      <c r="A2" t="s">
        <v>545</v>
      </c>
      <c r="B2" t="s">
        <v>552</v>
      </c>
      <c r="C2">
        <v>69</v>
      </c>
      <c r="D2">
        <v>174</v>
      </c>
      <c r="E2">
        <v>190</v>
      </c>
    </row>
    <row r="3" spans="1:9" x14ac:dyDescent="0.15">
      <c r="A3" t="s">
        <v>546</v>
      </c>
      <c r="C3">
        <v>69</v>
      </c>
      <c r="D3">
        <v>173</v>
      </c>
      <c r="E3">
        <v>189</v>
      </c>
    </row>
    <row r="4" spans="1:9" x14ac:dyDescent="0.15">
      <c r="A4" t="s">
        <v>547</v>
      </c>
      <c r="C4">
        <v>69</v>
      </c>
      <c r="D4">
        <v>174</v>
      </c>
      <c r="E4">
        <v>181</v>
      </c>
    </row>
    <row r="5" spans="1:9" x14ac:dyDescent="0.15">
      <c r="A5" t="s">
        <v>548</v>
      </c>
      <c r="C5">
        <v>69</v>
      </c>
      <c r="D5">
        <v>175</v>
      </c>
      <c r="E5">
        <v>183</v>
      </c>
      <c r="I5">
        <v>27</v>
      </c>
    </row>
    <row r="6" spans="1:9" x14ac:dyDescent="0.15">
      <c r="A6" t="s">
        <v>549</v>
      </c>
      <c r="B6" t="s">
        <v>680</v>
      </c>
      <c r="C6">
        <v>69</v>
      </c>
      <c r="D6">
        <v>170</v>
      </c>
      <c r="E6">
        <v>182</v>
      </c>
    </row>
    <row r="7" spans="1:9" x14ac:dyDescent="0.15">
      <c r="A7" t="s">
        <v>550</v>
      </c>
      <c r="C7">
        <v>69</v>
      </c>
      <c r="D7">
        <v>175</v>
      </c>
      <c r="E7">
        <v>186</v>
      </c>
    </row>
    <row r="8" spans="1:9" x14ac:dyDescent="0.15">
      <c r="A8" t="s">
        <v>551</v>
      </c>
      <c r="C8">
        <v>69</v>
      </c>
      <c r="D8">
        <v>177</v>
      </c>
      <c r="E8">
        <v>179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J65"/>
  <sheetViews>
    <sheetView workbookViewId="0">
      <selection activeCell="B2" sqref="B2"/>
    </sheetView>
  </sheetViews>
  <sheetFormatPr defaultRowHeight="13.5" x14ac:dyDescent="0.15"/>
  <cols>
    <col min="1" max="1" width="28" customWidth="1"/>
    <col min="2" max="2" width="19.625" customWidth="1"/>
  </cols>
  <sheetData>
    <row r="1" spans="1:10" ht="15" x14ac:dyDescent="0.15">
      <c r="A1" s="20" t="s">
        <v>396</v>
      </c>
      <c r="B1" s="10" t="s">
        <v>397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21" t="s">
        <v>9</v>
      </c>
    </row>
    <row r="2" spans="1:10" ht="16.5" x14ac:dyDescent="0.15">
      <c r="A2" s="1" t="s">
        <v>435</v>
      </c>
      <c r="B2" s="2" t="s">
        <v>436</v>
      </c>
      <c r="C2" s="2"/>
      <c r="D2" s="2"/>
      <c r="E2" s="2"/>
      <c r="F2" s="2"/>
      <c r="G2" s="2"/>
      <c r="H2" s="2"/>
      <c r="I2" s="2"/>
      <c r="J2" s="2"/>
    </row>
    <row r="3" spans="1:10" ht="16.5" x14ac:dyDescent="0.15">
      <c r="A3" s="1" t="s">
        <v>438</v>
      </c>
      <c r="B3" s="2"/>
      <c r="C3" s="2"/>
      <c r="D3" s="2"/>
      <c r="E3" s="2"/>
      <c r="F3" s="2">
        <v>63</v>
      </c>
      <c r="G3" s="2"/>
      <c r="H3" s="2"/>
      <c r="I3" s="2"/>
      <c r="J3" s="2"/>
    </row>
    <row r="4" spans="1:10" ht="16.5" x14ac:dyDescent="0.15">
      <c r="A4" s="1" t="s">
        <v>439</v>
      </c>
      <c r="B4" s="2"/>
      <c r="C4" s="2"/>
      <c r="D4" s="2"/>
      <c r="E4" s="2"/>
      <c r="F4" s="2">
        <v>81</v>
      </c>
      <c r="G4" s="2"/>
      <c r="H4" s="2"/>
      <c r="I4" s="2"/>
      <c r="J4" s="2"/>
    </row>
    <row r="8" spans="1:10" ht="16.5" x14ac:dyDescent="0.15">
      <c r="A8" s="3" t="s">
        <v>396</v>
      </c>
      <c r="B8" s="16" t="s">
        <v>397</v>
      </c>
      <c r="C8" s="16" t="s">
        <v>2</v>
      </c>
      <c r="D8" s="16" t="s">
        <v>3</v>
      </c>
      <c r="E8" s="16" t="s">
        <v>4</v>
      </c>
      <c r="F8" s="16" t="s">
        <v>5</v>
      </c>
      <c r="G8" s="16" t="s">
        <v>6</v>
      </c>
      <c r="H8" s="16" t="s">
        <v>7</v>
      </c>
      <c r="I8" s="16" t="s">
        <v>8</v>
      </c>
      <c r="J8" s="16" t="s">
        <v>9</v>
      </c>
    </row>
    <row r="9" spans="1:10" ht="16.5" x14ac:dyDescent="0.15">
      <c r="A9" s="3" t="s">
        <v>398</v>
      </c>
      <c r="B9" s="2"/>
      <c r="C9" s="2"/>
      <c r="D9" s="2"/>
      <c r="E9" s="2"/>
      <c r="F9" s="2">
        <v>30</v>
      </c>
      <c r="G9" s="2"/>
      <c r="H9" s="2">
        <v>20</v>
      </c>
      <c r="I9" s="2"/>
      <c r="J9" s="2"/>
    </row>
    <row r="10" spans="1:10" ht="16.5" x14ac:dyDescent="0.15">
      <c r="A10" s="3" t="s">
        <v>399</v>
      </c>
      <c r="B10" s="2"/>
      <c r="C10" s="2"/>
      <c r="D10" s="2"/>
      <c r="E10" s="2"/>
      <c r="F10" s="2">
        <v>30</v>
      </c>
      <c r="G10" s="2"/>
      <c r="H10" s="2"/>
      <c r="I10" s="2"/>
      <c r="J10" s="2"/>
    </row>
    <row r="11" spans="1:10" ht="16.5" x14ac:dyDescent="0.15">
      <c r="A11" s="3" t="s">
        <v>400</v>
      </c>
      <c r="B11" s="2"/>
      <c r="C11" s="2"/>
      <c r="D11" s="2"/>
      <c r="E11" s="2"/>
      <c r="F11" s="2">
        <v>30</v>
      </c>
      <c r="G11" s="2"/>
      <c r="H11" s="2"/>
      <c r="I11" s="2"/>
      <c r="J11" s="2">
        <v>8</v>
      </c>
    </row>
    <row r="15" spans="1:10" ht="16.5" x14ac:dyDescent="0.15">
      <c r="A15" s="3" t="s">
        <v>396</v>
      </c>
      <c r="B15" s="2" t="s">
        <v>402</v>
      </c>
      <c r="C15" s="16" t="s">
        <v>2</v>
      </c>
      <c r="D15" s="16" t="s">
        <v>3</v>
      </c>
      <c r="E15" s="16" t="s">
        <v>4</v>
      </c>
      <c r="F15" s="16" t="s">
        <v>5</v>
      </c>
      <c r="G15" s="16" t="s">
        <v>6</v>
      </c>
      <c r="H15" s="16" t="s">
        <v>7</v>
      </c>
      <c r="I15" s="16" t="s">
        <v>8</v>
      </c>
      <c r="J15" s="16" t="s">
        <v>9</v>
      </c>
    </row>
    <row r="16" spans="1:10" ht="16.5" x14ac:dyDescent="0.15">
      <c r="A16" s="3" t="s">
        <v>403</v>
      </c>
      <c r="B16" s="2"/>
      <c r="C16" s="2"/>
      <c r="D16" s="2"/>
      <c r="E16" s="2"/>
      <c r="F16" s="2">
        <v>24</v>
      </c>
      <c r="G16" s="2"/>
      <c r="H16" s="2">
        <v>15</v>
      </c>
      <c r="I16" s="2"/>
      <c r="J16" s="2"/>
    </row>
    <row r="17" spans="1:10" ht="16.5" x14ac:dyDescent="0.15">
      <c r="A17" s="3" t="s">
        <v>404</v>
      </c>
      <c r="B17" s="2"/>
      <c r="C17" s="2"/>
      <c r="D17" s="2"/>
      <c r="E17" s="2"/>
      <c r="F17" s="2">
        <v>24</v>
      </c>
      <c r="G17" s="2"/>
      <c r="H17" s="2"/>
      <c r="I17" s="2"/>
      <c r="J17" s="2">
        <v>8</v>
      </c>
    </row>
    <row r="22" spans="1:10" ht="16.5" x14ac:dyDescent="0.15">
      <c r="A22" s="1" t="s">
        <v>406</v>
      </c>
      <c r="B22" s="2" t="s">
        <v>407</v>
      </c>
      <c r="C22" s="16" t="s">
        <v>2</v>
      </c>
      <c r="D22" s="16" t="s">
        <v>3</v>
      </c>
      <c r="E22" s="16" t="s">
        <v>4</v>
      </c>
      <c r="F22" s="16" t="s">
        <v>5</v>
      </c>
      <c r="G22" s="16" t="s">
        <v>6</v>
      </c>
      <c r="H22" s="16" t="s">
        <v>7</v>
      </c>
      <c r="I22" s="16" t="s">
        <v>8</v>
      </c>
      <c r="J22" s="16" t="s">
        <v>9</v>
      </c>
    </row>
    <row r="23" spans="1:10" ht="16.5" x14ac:dyDescent="0.15">
      <c r="A23" s="1" t="s">
        <v>408</v>
      </c>
      <c r="B23" s="2"/>
      <c r="C23" s="2"/>
      <c r="D23" s="2"/>
      <c r="E23" s="2"/>
      <c r="F23" s="2">
        <v>27</v>
      </c>
      <c r="G23" s="2"/>
      <c r="H23" s="2"/>
      <c r="I23" s="2"/>
      <c r="J23" s="2"/>
    </row>
    <row r="24" spans="1:10" ht="16.5" x14ac:dyDescent="0.15">
      <c r="A24" s="1" t="s">
        <v>409</v>
      </c>
      <c r="B24" s="2"/>
      <c r="C24" s="2"/>
      <c r="D24" s="2"/>
      <c r="E24" s="2"/>
      <c r="F24" s="2"/>
      <c r="G24" s="2">
        <v>23</v>
      </c>
      <c r="H24" s="2"/>
      <c r="I24" s="2"/>
      <c r="J24" s="2"/>
    </row>
    <row r="25" spans="1:10" ht="16.5" x14ac:dyDescent="0.15">
      <c r="A25" s="1" t="s">
        <v>410</v>
      </c>
      <c r="B25" s="2"/>
      <c r="C25" s="2"/>
      <c r="D25" s="2"/>
      <c r="E25" s="2">
        <v>10</v>
      </c>
      <c r="F25" s="2"/>
      <c r="G25" s="2"/>
      <c r="H25" s="2"/>
      <c r="I25" s="2"/>
      <c r="J25" s="2"/>
    </row>
    <row r="26" spans="1:10" ht="16.5" x14ac:dyDescent="0.15">
      <c r="A26" s="1" t="s">
        <v>411</v>
      </c>
      <c r="B26" s="2" t="s">
        <v>568</v>
      </c>
      <c r="C26" s="2"/>
      <c r="D26" s="2"/>
      <c r="E26" s="2"/>
      <c r="F26" s="2"/>
      <c r="G26" s="2"/>
      <c r="H26" s="2"/>
      <c r="I26" s="2"/>
      <c r="J26" s="2"/>
    </row>
    <row r="30" spans="1:10" ht="16.5" x14ac:dyDescent="0.15">
      <c r="A30" s="3" t="s">
        <v>412</v>
      </c>
      <c r="B30" s="2" t="s">
        <v>407</v>
      </c>
      <c r="C30" s="16" t="s">
        <v>2</v>
      </c>
      <c r="D30" s="16" t="s">
        <v>3</v>
      </c>
      <c r="E30" s="16" t="s">
        <v>4</v>
      </c>
      <c r="F30" s="16" t="s">
        <v>5</v>
      </c>
      <c r="G30" s="16" t="s">
        <v>6</v>
      </c>
      <c r="H30" s="16" t="s">
        <v>7</v>
      </c>
      <c r="I30" s="22" t="s">
        <v>441</v>
      </c>
    </row>
    <row r="31" spans="1:10" ht="16.5" x14ac:dyDescent="0.15">
      <c r="A31" s="3" t="s">
        <v>414</v>
      </c>
      <c r="B31" s="2"/>
      <c r="C31" s="2">
        <v>10</v>
      </c>
      <c r="D31" s="2">
        <v>10</v>
      </c>
      <c r="E31" s="2">
        <v>10</v>
      </c>
      <c r="F31" s="2">
        <v>0</v>
      </c>
      <c r="G31" s="2">
        <v>0</v>
      </c>
      <c r="H31" s="2">
        <v>0</v>
      </c>
      <c r="I31" s="11">
        <v>0</v>
      </c>
    </row>
    <row r="32" spans="1:10" ht="16.5" x14ac:dyDescent="0.15">
      <c r="A32" s="3" t="s">
        <v>415</v>
      </c>
      <c r="B32" s="2"/>
      <c r="C32" s="2">
        <v>0</v>
      </c>
      <c r="D32" s="2">
        <v>0</v>
      </c>
      <c r="E32" s="2">
        <v>15</v>
      </c>
      <c r="F32" s="2">
        <v>0</v>
      </c>
      <c r="G32" s="2">
        <v>0</v>
      </c>
      <c r="H32" s="2">
        <v>0</v>
      </c>
      <c r="I32" s="11">
        <v>0</v>
      </c>
    </row>
    <row r="36" spans="1:9" ht="15" x14ac:dyDescent="0.15">
      <c r="A36" s="20" t="s">
        <v>412</v>
      </c>
      <c r="B36" s="10" t="s">
        <v>407</v>
      </c>
      <c r="C36" s="10" t="s">
        <v>2</v>
      </c>
      <c r="D36" s="10" t="s">
        <v>3</v>
      </c>
      <c r="E36" s="10" t="s">
        <v>4</v>
      </c>
      <c r="F36" s="10" t="s">
        <v>5</v>
      </c>
      <c r="G36" s="10" t="s">
        <v>6</v>
      </c>
      <c r="H36" s="21" t="s">
        <v>7</v>
      </c>
      <c r="I36" s="10" t="s">
        <v>441</v>
      </c>
    </row>
    <row r="37" spans="1:9" ht="16.5" x14ac:dyDescent="0.15">
      <c r="A37" s="1" t="s">
        <v>417</v>
      </c>
      <c r="B37" s="2"/>
      <c r="C37" s="2"/>
      <c r="D37" s="2"/>
      <c r="E37" s="2"/>
      <c r="F37" s="2">
        <v>30</v>
      </c>
      <c r="G37" s="2"/>
      <c r="H37" s="2"/>
      <c r="I37" s="11"/>
    </row>
    <row r="38" spans="1:9" ht="16.5" x14ac:dyDescent="0.15">
      <c r="A38" s="1" t="s">
        <v>418</v>
      </c>
      <c r="B38" s="2"/>
      <c r="C38" s="2"/>
      <c r="D38" s="2"/>
      <c r="E38" s="2">
        <v>18</v>
      </c>
      <c r="F38" s="2"/>
      <c r="G38" s="2"/>
      <c r="H38" s="2"/>
      <c r="I38" s="11"/>
    </row>
    <row r="39" spans="1:9" ht="16.5" x14ac:dyDescent="0.15">
      <c r="A39" s="1" t="s">
        <v>419</v>
      </c>
      <c r="B39" s="2"/>
      <c r="C39" s="2">
        <v>6</v>
      </c>
      <c r="D39" s="2">
        <v>6</v>
      </c>
      <c r="E39" s="2">
        <v>6</v>
      </c>
      <c r="F39" s="2"/>
      <c r="G39" s="2"/>
      <c r="H39" s="2"/>
      <c r="I39" s="11"/>
    </row>
    <row r="42" spans="1:9" ht="15" x14ac:dyDescent="0.15">
      <c r="A42" s="20" t="s">
        <v>412</v>
      </c>
      <c r="B42" s="10" t="s">
        <v>407</v>
      </c>
      <c r="C42" s="10" t="s">
        <v>2</v>
      </c>
      <c r="D42" s="10" t="s">
        <v>3</v>
      </c>
      <c r="E42" s="10" t="s">
        <v>4</v>
      </c>
      <c r="F42" s="10" t="s">
        <v>5</v>
      </c>
      <c r="G42" s="10" t="s">
        <v>6</v>
      </c>
      <c r="H42" s="21" t="s">
        <v>7</v>
      </c>
      <c r="I42" s="21" t="s">
        <v>8</v>
      </c>
    </row>
    <row r="43" spans="1:9" ht="16.5" x14ac:dyDescent="0.15">
      <c r="A43" s="3" t="s">
        <v>427</v>
      </c>
      <c r="B43" s="2"/>
      <c r="C43" s="2"/>
      <c r="D43" s="2"/>
      <c r="E43" s="2">
        <v>20</v>
      </c>
      <c r="F43" s="2">
        <v>50</v>
      </c>
      <c r="G43" s="2"/>
      <c r="H43" s="2"/>
      <c r="I43" s="2"/>
    </row>
    <row r="44" spans="1:9" ht="16.5" x14ac:dyDescent="0.15">
      <c r="A44" s="3" t="s">
        <v>428</v>
      </c>
      <c r="B44" s="2"/>
      <c r="C44" s="2">
        <v>20</v>
      </c>
      <c r="D44" s="2"/>
      <c r="E44" s="2"/>
      <c r="F44" s="2">
        <v>50</v>
      </c>
      <c r="G44" s="2"/>
      <c r="H44" s="2"/>
      <c r="I44" s="2"/>
    </row>
    <row r="48" spans="1:9" ht="15" x14ac:dyDescent="0.15">
      <c r="A48" s="20" t="s">
        <v>412</v>
      </c>
      <c r="B48" s="10" t="s">
        <v>407</v>
      </c>
      <c r="C48" s="10" t="s">
        <v>2</v>
      </c>
      <c r="D48" s="10" t="s">
        <v>3</v>
      </c>
      <c r="E48" s="10" t="s">
        <v>4</v>
      </c>
      <c r="F48" s="10" t="s">
        <v>5</v>
      </c>
      <c r="G48" s="10" t="s">
        <v>6</v>
      </c>
      <c r="H48" s="21" t="s">
        <v>7</v>
      </c>
      <c r="I48" s="21" t="s">
        <v>8</v>
      </c>
    </row>
    <row r="49" spans="1:9" ht="16.5" x14ac:dyDescent="0.15">
      <c r="A49" s="1" t="s">
        <v>430</v>
      </c>
      <c r="B49" s="2"/>
      <c r="C49" s="2"/>
      <c r="D49" s="2"/>
      <c r="E49" s="2"/>
      <c r="F49" s="2"/>
      <c r="G49" s="2"/>
      <c r="H49" s="2">
        <v>24</v>
      </c>
      <c r="I49" s="2"/>
    </row>
    <row r="50" spans="1:9" ht="16.5" x14ac:dyDescent="0.15">
      <c r="A50" s="1" t="s">
        <v>431</v>
      </c>
      <c r="B50" s="2"/>
      <c r="C50" s="2"/>
      <c r="D50" s="2"/>
      <c r="E50" s="2">
        <v>18</v>
      </c>
      <c r="F50" s="2"/>
      <c r="G50" s="2"/>
      <c r="H50" s="2"/>
      <c r="I50" s="2"/>
    </row>
    <row r="51" spans="1:9" ht="16.5" x14ac:dyDescent="0.15">
      <c r="A51" s="1" t="s">
        <v>432</v>
      </c>
      <c r="B51" s="2"/>
      <c r="C51" s="2"/>
      <c r="D51" s="2"/>
      <c r="E51" s="2"/>
      <c r="F51" s="2"/>
      <c r="G51" s="2"/>
      <c r="H51" s="2">
        <v>12</v>
      </c>
      <c r="I51" s="2">
        <v>12</v>
      </c>
    </row>
    <row r="54" spans="1:9" ht="15" x14ac:dyDescent="0.15">
      <c r="A54" s="20" t="s">
        <v>412</v>
      </c>
      <c r="B54" s="10" t="s">
        <v>407</v>
      </c>
      <c r="C54" s="10" t="s">
        <v>2</v>
      </c>
      <c r="D54" s="10" t="s">
        <v>3</v>
      </c>
      <c r="E54" s="10" t="s">
        <v>4</v>
      </c>
      <c r="F54" s="10" t="s">
        <v>5</v>
      </c>
      <c r="G54" s="10" t="s">
        <v>6</v>
      </c>
      <c r="H54" s="21" t="s">
        <v>7</v>
      </c>
      <c r="I54" s="21" t="s">
        <v>8</v>
      </c>
    </row>
    <row r="55" spans="1:9" ht="16.5" x14ac:dyDescent="0.15">
      <c r="A55" s="1" t="s">
        <v>433</v>
      </c>
      <c r="B55" s="2"/>
      <c r="C55" s="2"/>
      <c r="D55" s="2"/>
      <c r="E55" s="2"/>
      <c r="F55" s="2">
        <v>23</v>
      </c>
      <c r="G55" s="2"/>
      <c r="H55" s="2"/>
      <c r="I55" s="2"/>
    </row>
    <row r="56" spans="1:9" ht="16.5" x14ac:dyDescent="0.15">
      <c r="A56" s="1" t="s">
        <v>434</v>
      </c>
      <c r="B56" s="2"/>
      <c r="C56" s="2"/>
      <c r="D56" s="2"/>
      <c r="E56" s="2"/>
      <c r="F56" s="2"/>
      <c r="G56" s="2"/>
      <c r="H56" s="2"/>
      <c r="I56" s="2"/>
    </row>
    <row r="61" spans="1:9" ht="15" x14ac:dyDescent="0.15">
      <c r="A61" s="20" t="s">
        <v>412</v>
      </c>
      <c r="B61" s="10" t="s">
        <v>407</v>
      </c>
      <c r="C61" s="10" t="s">
        <v>2</v>
      </c>
      <c r="D61" s="10" t="s">
        <v>3</v>
      </c>
      <c r="E61" s="10" t="s">
        <v>4</v>
      </c>
      <c r="F61" s="10" t="s">
        <v>5</v>
      </c>
      <c r="G61" s="10" t="s">
        <v>6</v>
      </c>
      <c r="H61" s="21" t="s">
        <v>7</v>
      </c>
      <c r="I61" s="10" t="s">
        <v>8</v>
      </c>
    </row>
    <row r="62" spans="1:9" ht="16.5" x14ac:dyDescent="0.15">
      <c r="A62" s="3" t="s">
        <v>420</v>
      </c>
      <c r="B62" s="2" t="s">
        <v>541</v>
      </c>
      <c r="C62" s="2"/>
      <c r="D62" s="2"/>
      <c r="E62" s="2"/>
      <c r="F62" s="2"/>
      <c r="G62" s="2"/>
      <c r="H62" s="2"/>
      <c r="I62" s="2"/>
    </row>
    <row r="63" spans="1:9" ht="16.5" x14ac:dyDescent="0.15">
      <c r="A63" s="3" t="s">
        <v>421</v>
      </c>
      <c r="B63" s="2"/>
      <c r="C63" s="2"/>
      <c r="D63" s="2"/>
      <c r="E63" s="2"/>
      <c r="F63" s="2">
        <v>28</v>
      </c>
      <c r="G63" s="2"/>
      <c r="H63" s="2"/>
      <c r="I63" s="2"/>
    </row>
    <row r="64" spans="1:9" ht="16.5" x14ac:dyDescent="0.15">
      <c r="A64" s="3" t="s">
        <v>422</v>
      </c>
      <c r="B64" s="2" t="s">
        <v>425</v>
      </c>
      <c r="C64" s="2"/>
      <c r="D64" s="2"/>
      <c r="E64" s="2"/>
      <c r="F64" s="2"/>
      <c r="G64" s="2"/>
      <c r="H64" s="2"/>
      <c r="I64" s="2"/>
    </row>
    <row r="65" spans="1:9" ht="16.5" x14ac:dyDescent="0.15">
      <c r="A65" s="3" t="s">
        <v>424</v>
      </c>
      <c r="B65" s="2"/>
      <c r="C65" s="2"/>
      <c r="D65" s="2"/>
      <c r="E65" s="2"/>
      <c r="F65" s="2"/>
      <c r="G65" s="2"/>
      <c r="H65" s="2"/>
      <c r="I65" s="2">
        <v>20</v>
      </c>
    </row>
  </sheetData>
  <phoneticPr fontId="1" type="noConversion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人物属性</vt:lpstr>
      <vt:lpstr>DPS评价</vt:lpstr>
      <vt:lpstr>Sheet3</vt:lpstr>
      <vt:lpstr>Sheet4</vt:lpstr>
      <vt:lpstr>武器</vt:lpstr>
      <vt:lpstr>魔杖</vt:lpstr>
      <vt:lpstr>头部</vt:lpstr>
      <vt:lpstr>项链</vt:lpstr>
      <vt:lpstr>肩部</vt:lpstr>
      <vt:lpstr>披风</vt:lpstr>
      <vt:lpstr>胸部</vt:lpstr>
      <vt:lpstr>手腕</vt:lpstr>
      <vt:lpstr>手部</vt:lpstr>
      <vt:lpstr>腰带</vt:lpstr>
      <vt:lpstr>腿部</vt:lpstr>
      <vt:lpstr>脚部</vt:lpstr>
      <vt:lpstr>手指</vt:lpstr>
      <vt:lpstr>副手</vt:lpstr>
      <vt:lpstr>饰品</vt:lpstr>
      <vt:lpstr>石头</vt:lpstr>
      <vt:lpstr>多彩</vt:lpstr>
      <vt:lpstr>基础属性</vt:lpstr>
      <vt:lpstr>附魔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AK-48</dc:creator>
  <cp:lastModifiedBy>AK-48</cp:lastModifiedBy>
  <dcterms:created xsi:type="dcterms:W3CDTF">2011-04-19T03:59:21Z</dcterms:created>
  <dcterms:modified xsi:type="dcterms:W3CDTF">2011-05-02T09:51:22Z</dcterms:modified>
</cp:coreProperties>
</file>